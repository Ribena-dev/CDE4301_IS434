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nusu.sharepoint.com/sites/CIBA/Shared Documents/General/Student Projects/Resolution Standard AY2526/"/>
    </mc:Choice>
  </mc:AlternateContent>
  <xr:revisionPtr revIDLastSave="0" documentId="8_{436C8823-3032-411D-B825-C946ABBD35E6}" xr6:coauthVersionLast="47" xr6:coauthVersionMax="47" xr10:uidLastSave="{00000000-0000-0000-0000-000000000000}"/>
  <bookViews>
    <workbookView xWindow="-108" yWindow="-108" windowWidth="23256" windowHeight="12456" xr2:uid="{55C4B8A3-BDAC-4B1D-A11B-7B7329A012C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" i="1" l="1"/>
  <c r="M160" i="1"/>
  <c r="M156" i="1"/>
  <c r="L122" i="1"/>
  <c r="L126" i="1"/>
  <c r="R102" i="1"/>
  <c r="R101" i="1"/>
  <c r="Q102" i="1"/>
  <c r="Q101" i="1"/>
  <c r="Q100" i="1"/>
  <c r="I100" i="1"/>
  <c r="I101" i="1"/>
  <c r="I103" i="1"/>
  <c r="I104" i="1"/>
  <c r="I105" i="1"/>
  <c r="I106" i="1"/>
  <c r="I107" i="1"/>
  <c r="I108" i="1"/>
  <c r="I109" i="1"/>
  <c r="I99" i="1"/>
  <c r="H100" i="1"/>
  <c r="H101" i="1"/>
  <c r="H103" i="1"/>
  <c r="H104" i="1"/>
  <c r="H105" i="1"/>
  <c r="H106" i="1"/>
  <c r="H107" i="1"/>
  <c r="H108" i="1"/>
  <c r="H109" i="1"/>
  <c r="H99" i="1"/>
  <c r="J107" i="1" l="1"/>
  <c r="J108" i="1"/>
  <c r="J106" i="1"/>
  <c r="J105" i="1"/>
  <c r="J104" i="1"/>
  <c r="J103" i="1"/>
  <c r="J99" i="1"/>
  <c r="J101" i="1"/>
  <c r="J109" i="1"/>
  <c r="J100" i="1"/>
  <c r="I73" i="1"/>
  <c r="I72" i="1"/>
  <c r="D88" i="1"/>
  <c r="C88" i="1"/>
  <c r="D87" i="1"/>
  <c r="C87" i="1"/>
  <c r="D79" i="1"/>
  <c r="C79" i="1"/>
  <c r="D78" i="1"/>
  <c r="C78" i="1"/>
  <c r="D70" i="1"/>
  <c r="C70" i="1"/>
  <c r="D69" i="1"/>
  <c r="C69" i="1"/>
  <c r="D61" i="1"/>
  <c r="C61" i="1"/>
  <c r="D60" i="1"/>
  <c r="C60" i="1"/>
  <c r="E52" i="1"/>
  <c r="E51" i="1"/>
  <c r="F46" i="1"/>
  <c r="E46" i="1"/>
  <c r="F45" i="1"/>
  <c r="E45" i="1"/>
  <c r="D46" i="1"/>
  <c r="C46" i="1"/>
  <c r="D45" i="1"/>
  <c r="C45" i="1"/>
  <c r="D37" i="1"/>
  <c r="C37" i="1"/>
  <c r="D36" i="1"/>
  <c r="C36" i="1"/>
  <c r="D19" i="1"/>
  <c r="D28" i="1"/>
  <c r="C28" i="1"/>
  <c r="D27" i="1"/>
  <c r="C27" i="1"/>
  <c r="C19" i="1"/>
  <c r="D18" i="1"/>
  <c r="C18" i="1"/>
  <c r="D8" i="1"/>
  <c r="C8" i="1"/>
  <c r="D7" i="1"/>
  <c r="C7" i="1"/>
  <c r="E47" i="1" l="1"/>
  <c r="E48" i="1" s="1"/>
  <c r="E60" i="1"/>
  <c r="F60" i="1" s="1"/>
  <c r="E87" i="1"/>
  <c r="F87" i="1" s="1"/>
  <c r="E78" i="1"/>
  <c r="F78" i="1" s="1"/>
  <c r="E69" i="1"/>
  <c r="F69" i="1" s="1"/>
  <c r="E7" i="1"/>
  <c r="F47" i="1"/>
  <c r="F48" i="1" s="1"/>
  <c r="D47" i="1"/>
  <c r="D48" i="1" s="1"/>
  <c r="E36" i="1"/>
  <c r="F36" i="1" s="1"/>
  <c r="E27" i="1"/>
  <c r="E18" i="1"/>
</calcChain>
</file>

<file path=xl/sharedStrings.xml><?xml version="1.0" encoding="utf-8"?>
<sst xmlns="http://schemas.openxmlformats.org/spreadsheetml/2006/main" count="184" uniqueCount="91">
  <si>
    <t>File name</t>
  </si>
  <si>
    <t>no of pixels</t>
  </si>
  <si>
    <t>DLC</t>
  </si>
  <si>
    <t>Si</t>
  </si>
  <si>
    <t>12/9 1806 possible H edge  256x256 10 um</t>
  </si>
  <si>
    <t>10 nmDLC on pristine silicon</t>
  </si>
  <si>
    <t>count ratio</t>
  </si>
  <si>
    <t>average</t>
  </si>
  <si>
    <t>st dev</t>
  </si>
  <si>
    <t>12/9 1804 possible v edge 256x256 10 um</t>
  </si>
  <si>
    <t>v poor contrast!</t>
  </si>
  <si>
    <t>5/9 horz boundary 7.7 6.78 ~200 by 200</t>
  </si>
  <si>
    <t>Au</t>
  </si>
  <si>
    <t>7 nm DLC on Au</t>
  </si>
  <si>
    <t>12/9 1916 -5.78 -5.426 -6.95 trek 100 by 100 um</t>
  </si>
  <si>
    <t>7?</t>
  </si>
  <si>
    <t>10+7?</t>
  </si>
  <si>
    <t>10+7 nm DLC near dust 4, 10 nm DLC vs 10+7 nm DLC</t>
  </si>
  <si>
    <t>no contrast between 7 and 10+7 nm DLC</t>
  </si>
  <si>
    <t>12/9 1921 -6.07-5.67 -6.95 trek 100by 100 um dust 5</t>
  </si>
  <si>
    <t>gold</t>
  </si>
  <si>
    <t>10 nm DLC</t>
  </si>
  <si>
    <t>gold vs 10 nm dlc</t>
  </si>
  <si>
    <t>near dust 5</t>
  </si>
  <si>
    <t>more count = gold</t>
  </si>
  <si>
    <t>12/9 1928-5.808 -5.712 -6.95 100 by 100</t>
  </si>
  <si>
    <t>17 nm DLC</t>
  </si>
  <si>
    <t>4 way</t>
  </si>
  <si>
    <t>ratio</t>
  </si>
  <si>
    <t>5/9 gold AU separate scans</t>
  </si>
  <si>
    <t>whole scan</t>
  </si>
  <si>
    <t>more confidence</t>
  </si>
  <si>
    <t>8/9 90s scan 8.255 6.73 -6.949 no bias ~100 by 100</t>
  </si>
  <si>
    <t>8/9 100s 5V</t>
  </si>
  <si>
    <t>bias</t>
  </si>
  <si>
    <t>8/9 100s 10V</t>
  </si>
  <si>
    <t>Avg DLC counts</t>
  </si>
  <si>
    <t>Avg Au counts</t>
  </si>
  <si>
    <t>DLC thickness</t>
  </si>
  <si>
    <t>ratio of DLC/Au</t>
  </si>
  <si>
    <t>8/9 100s 20V</t>
  </si>
  <si>
    <t>Layer</t>
  </si>
  <si>
    <t>Contrast</t>
  </si>
  <si>
    <t>7 nm DLC vs Au</t>
  </si>
  <si>
    <t>7 nm DLC vs Au separate scans</t>
  </si>
  <si>
    <t>7 nm DLC vs Au no bias</t>
  </si>
  <si>
    <t>7 nm DLC vs Au 5 bias</t>
  </si>
  <si>
    <t>7 nm DLC vs Au 10 bias</t>
  </si>
  <si>
    <t>7 nm DLC vs Au 20 bias</t>
  </si>
  <si>
    <t>10 nm DLC vs Au only</t>
  </si>
  <si>
    <t>10+7 nm DLC vs Au</t>
  </si>
  <si>
    <t>10 nm DLC vs Au</t>
  </si>
  <si>
    <t>10 nm DLC vs Doped Si</t>
  </si>
  <si>
    <t>counts</t>
  </si>
  <si>
    <t>average counts</t>
  </si>
  <si>
    <t>Line scans for DLC grid on Pd</t>
  </si>
  <si>
    <t>Pd</t>
  </si>
  <si>
    <t>Contrast (DLC/Pd)</t>
  </si>
  <si>
    <t>Bias</t>
  </si>
  <si>
    <t>Average Contrast (DLC/Pd)</t>
  </si>
  <si>
    <t>Std dev</t>
  </si>
  <si>
    <t>DLC grid -6.6, 9.25,-7.04 0v 520x</t>
  </si>
  <si>
    <t>DLC grid -6.95, 9.3,-7.04 0V 520x</t>
  </si>
  <si>
    <t>DLC grid -6.95, 9.3,-7.04 15V 520x</t>
  </si>
  <si>
    <t>DLC grid -6.95, 9.3,-7.04 15V 2</t>
  </si>
  <si>
    <t>DLC grid -6.95, 9.3,-7.04 15V 3 650x</t>
  </si>
  <si>
    <t>DLC grid -6.95, 9.3,-7.04 15V 4 650x</t>
  </si>
  <si>
    <t>DLC grid -6.95, 9.3,-7.04 20V 650x</t>
  </si>
  <si>
    <t>DLC grid -6.95, 9.3,-7.04 0V 650x</t>
  </si>
  <si>
    <t>DLC grid -6.95, 9.3,-7.04 -20V 650x</t>
  </si>
  <si>
    <t>DLC grid -6.95, 9.3,-7.04 20V 2 650x</t>
  </si>
  <si>
    <t>DLC grid -6.53, 9.3,-7.04 0V techron 8x8 um scan</t>
  </si>
  <si>
    <t>DLC grid -6.53, 9.3,-7.04 0V techron 2048 points</t>
  </si>
  <si>
    <t>cannot see step clearly</t>
  </si>
  <si>
    <t>7 nm DLC vs Au 0V</t>
  </si>
  <si>
    <t>10 nm DLC vs Doped Si 0V</t>
  </si>
  <si>
    <t>7 nm DLC vs Au separate scans 0V</t>
  </si>
  <si>
    <t>7 nm DLC vs Au 0V average</t>
  </si>
  <si>
    <t>7 nm DLC vs Au 5V</t>
  </si>
  <si>
    <t>7 nm DLC vs Au 10V</t>
  </si>
  <si>
    <t>7 nm DLC vs Au 20V</t>
  </si>
  <si>
    <t>10 nm DLC vs Au 0V average</t>
  </si>
  <si>
    <t>10 nm DLC vs Au 0V</t>
  </si>
  <si>
    <t>10+7 nm DLC vs Au 0V</t>
  </si>
  <si>
    <t>10 nm DLC grid on 10 nm Pd -20V</t>
  </si>
  <si>
    <t>10 nm DLC grid on 10 nm Pd 0V</t>
  </si>
  <si>
    <t>10 nm DLC grid on 10 nm Pd 15V</t>
  </si>
  <si>
    <t>10 nm DLC grid on 10 nm Pd 20V</t>
  </si>
  <si>
    <t xml:space="preserve">10 nm DLC vs Au 0V </t>
  </si>
  <si>
    <t>10 nm DLC vs Pd 0V</t>
  </si>
  <si>
    <t>17 nm DLC vs Au 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</si>
</sst>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/m/yy;@"/>
    <numFmt numFmtId="165" formatCode="0.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Sheet1!$H$82</c:f>
              <c:strCache>
                <c:ptCount val="1"/>
                <c:pt idx="0">
                  <c:v>ratio of DLC/Au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Sheet1!$I$81:$L$81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xVal>
          <c:yVal>
            <c:numRef>
              <c:f>Sheet1!$I$82:$L$82</c:f>
              <c:numCache>
                <c:formatCode>General</c:formatCode>
                <c:ptCount val="4"/>
                <c:pt idx="0">
                  <c:v>0.85077343039126485</c:v>
                </c:pt>
                <c:pt idx="1">
                  <c:v>0.84805081175669972</c:v>
                </c:pt>
                <c:pt idx="2">
                  <c:v>0.86411324335723327</c:v>
                </c:pt>
                <c:pt idx="3">
                  <c:v>0.86703840154004452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9-4F63-83B8-6CD5A9E62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994848"/>
        <c:axId val="862000608"/>
      </c:scatterChart>
      <c:valAx>
        <c:axId val="86199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Bias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00608"/>
        <c:crosses val="autoZero"/>
        <c:crossBetween val="midCat"/>
      </c:valAx>
      <c:valAx>
        <c:axId val="862000608"/>
        <c:scaling>
          <c:orientation val="minMax"/>
          <c:max val="0.9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Contrast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9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Sheet1!$H$78</c:f>
              <c:strCache>
                <c:ptCount val="1"/>
                <c:pt idx="0">
                  <c:v>ratio of DLC/Au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Sheet1!$I$77:$M$77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17</c:v>
                </c:pt>
              </c:numCache>
            </c:numRef>
          </c:xVal>
          <c:yVal>
            <c:numRef>
              <c:f>Sheet1!$I$78:$M$78</c:f>
              <c:numCache>
                <c:formatCode>General</c:formatCode>
                <c:ptCount val="5"/>
                <c:pt idx="1">
                  <c:v>0.82506833268254587</c:v>
                </c:pt>
                <c:pt idx="2">
                  <c:v>0.59468957438500591</c:v>
                </c:pt>
                <c:pt idx="3">
                  <c:v>0.60562280359234666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0-4003-A2E3-D16D4B98B730}"/>
            </c:ext>
          </c:extLst>
        </c:ser>
        <c:ser>
          <c:idx val="1"/>
          <c:order val="1"/>
          <c:tx>
            <c:strRef>
              <c:f>Sheet1!$H$79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Sheet1!$I$77:$M$77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17</c:v>
                </c:pt>
              </c:numCache>
            </c:numRef>
          </c:xVal>
          <c:yVal>
            <c:numRef>
              <c:f>Sheet1!$I$79:$M$79</c:f>
              <c:numCache>
                <c:formatCode>General</c:formatCode>
                <c:ptCount val="5"/>
                <c:pt idx="2">
                  <c:v>0.64617455687682301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00-4003-A2E3-D16D4B98B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898760"/>
        <c:axId val="1204899120"/>
      </c:scatterChart>
      <c:valAx>
        <c:axId val="1204898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DLC thickness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99120"/>
        <c:crosses val="autoZero"/>
        <c:crossBetween val="midCat"/>
      </c:valAx>
      <c:valAx>
        <c:axId val="12048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Contrast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98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Sheet1!$H$72</c:f>
              <c:strCache>
                <c:ptCount val="1"/>
                <c:pt idx="0">
                  <c:v>Avg DLC counts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Sheet1!$I$71:$L$71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xVal>
          <c:yVal>
            <c:numRef>
              <c:f>Sheet1!$I$72:$L$72</c:f>
              <c:numCache>
                <c:formatCode>General</c:formatCode>
                <c:ptCount val="4"/>
                <c:pt idx="0">
                  <c:v>1709.5555555555554</c:v>
                </c:pt>
                <c:pt idx="1">
                  <c:v>6171.8</c:v>
                </c:pt>
                <c:pt idx="2">
                  <c:v>7587.2</c:v>
                </c:pt>
                <c:pt idx="3">
                  <c:v>6025.8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E-412B-A345-4CB347AA2BB7}"/>
            </c:ext>
          </c:extLst>
        </c:ser>
        <c:ser>
          <c:idx val="1"/>
          <c:order val="1"/>
          <c:tx>
            <c:strRef>
              <c:f>Sheet1!$H$73</c:f>
              <c:strCache>
                <c:ptCount val="1"/>
                <c:pt idx="0">
                  <c:v>Avg Au counts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Sheet1!$I$71:$L$71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xVal>
          <c:yVal>
            <c:numRef>
              <c:f>Sheet1!$I$73:$L$73</c:f>
              <c:numCache>
                <c:formatCode>General</c:formatCode>
                <c:ptCount val="4"/>
                <c:pt idx="0">
                  <c:v>1454.4444444444443</c:v>
                </c:pt>
                <c:pt idx="1">
                  <c:v>5234</c:v>
                </c:pt>
                <c:pt idx="2">
                  <c:v>6556.2</c:v>
                </c:pt>
                <c:pt idx="3">
                  <c:v>5224.6000000000004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CE-412B-A345-4CB347AA2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155464"/>
        <c:axId val="1205151144"/>
      </c:scatterChart>
      <c:valAx>
        <c:axId val="120515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Bias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51144"/>
        <c:crosses val="autoZero"/>
        <c:crossBetween val="midCat"/>
      </c:valAx>
      <c:valAx>
        <c:axId val="120515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55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Sheet1!$Q$98</c:f>
              <c:strCache>
                <c:ptCount val="1"/>
                <c:pt idx="0">
                  <c:v>Average Contrast (DLC/Pd)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Sheet1!$R$99:$R$102</c:f>
                <c:numCache>
                  <c:formatCode>General</c:formatCode>
                  <c:ptCount val="4"/>
                  <c:pt idx="1">
                    <c:v>4.2085209611044651E-2</c:v>
                  </c:pt>
                  <c:pt idx="2">
                    <c:v>2.3074420466065613E-3</c:v>
                  </c:pt>
                  <c:pt idx="3">
                    <c:v>4.2552583262436751E-2</c:v>
                  </c:pt>
                </c:numCache>
              </c:numRef>
            </c:plus>
            <c:minus>
              <c:numRef>
                <c:f>Sheet1!$R$99:$R$102</c:f>
                <c:numCache>
                  <c:formatCode>General</c:formatCode>
                  <c:ptCount val="4"/>
                  <c:pt idx="1">
                    <c:v>4.2085209611044651E-2</c:v>
                  </c:pt>
                  <c:pt idx="2">
                    <c:v>2.3074420466065613E-3</c:v>
                  </c:pt>
                  <c:pt idx="3">
                    <c:v>4.2552583262436751E-2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Sheet1!$P$99:$P$102</c:f>
              <c:numCache>
                <c:formatCode>General</c:formatCode>
                <c:ptCount val="4"/>
                <c:pt idx="0">
                  <c:v>-20</c:v>
                </c:pt>
                <c:pt idx="1">
                  <c:v>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Sheet1!$Q$99:$Q$102</c:f>
              <c:numCache>
                <c:formatCode>General</c:formatCode>
                <c:ptCount val="4"/>
                <c:pt idx="0">
                  <c:v>0.76854115729421357</c:v>
                </c:pt>
                <c:pt idx="1">
                  <c:v>0.82182235166058359</c:v>
                </c:pt>
                <c:pt idx="2">
                  <c:v>0.82477073429750014</c:v>
                </c:pt>
                <c:pt idx="3">
                  <c:v>0.8260319409455974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9D-4E06-B4C3-C3A9EFA41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648472"/>
        <c:axId val="329645592"/>
      </c:scatterChart>
      <c:valAx>
        <c:axId val="329648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Bias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645592"/>
        <c:crosses val="autoZero"/>
        <c:crossBetween val="midCat"/>
      </c:valAx>
      <c:valAx>
        <c:axId val="32964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DLC/Pd</a:t>
                </a:r>
                <a:r>
                  <a:rPr lang="en-SG" baseline="0"/>
                  <a:t> 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648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Counts</a:t>
            </a:r>
            <a:r>
              <a:rPr lang="en-SG" baseline="0"/>
              <a:t> vs Bias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Sheet1!$H$112</c:f>
              <c:strCache>
                <c:ptCount val="1"/>
                <c:pt idx="0">
                  <c:v>Pd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Sheet1!$G$113:$G$118</c:f>
              <c:numCache>
                <c:formatCode>General</c:formatCode>
                <c:ptCount val="6"/>
                <c:pt idx="0">
                  <c:v>-20</c:v>
                </c:pt>
                <c:pt idx="1">
                  <c:v>0</c:v>
                </c:pt>
                <c:pt idx="2">
                  <c:v>15</c:v>
                </c:pt>
                <c:pt idx="3">
                  <c:v>15</c:v>
                </c:pt>
                <c:pt idx="4">
                  <c:v>20</c:v>
                </c:pt>
                <c:pt idx="5">
                  <c:v>20</c:v>
                </c:pt>
              </c:numCache>
            </c:numRef>
          </c:xVal>
          <c:yVal>
            <c:numRef>
              <c:f>Sheet1!$H$113:$H$118</c:f>
              <c:numCache>
                <c:formatCode>General</c:formatCode>
                <c:ptCount val="6"/>
                <c:pt idx="0">
                  <c:v>613.5</c:v>
                </c:pt>
                <c:pt idx="1">
                  <c:v>847.5</c:v>
                </c:pt>
                <c:pt idx="2">
                  <c:v>1280.5</c:v>
                </c:pt>
                <c:pt idx="3">
                  <c:v>1181.5</c:v>
                </c:pt>
                <c:pt idx="4">
                  <c:v>1188.5</c:v>
                </c:pt>
                <c:pt idx="5">
                  <c:v>1257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25-45FE-9CA3-42662CC2429A}"/>
            </c:ext>
          </c:extLst>
        </c:ser>
        <c:ser>
          <c:idx val="1"/>
          <c:order val="1"/>
          <c:tx>
            <c:strRef>
              <c:f>Sheet1!$I$112</c:f>
              <c:strCache>
                <c:ptCount val="1"/>
                <c:pt idx="0">
                  <c:v>DLC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Sheet1!$G$113:$G$118</c:f>
              <c:numCache>
                <c:formatCode>General</c:formatCode>
                <c:ptCount val="6"/>
                <c:pt idx="0">
                  <c:v>-20</c:v>
                </c:pt>
                <c:pt idx="1">
                  <c:v>0</c:v>
                </c:pt>
                <c:pt idx="2">
                  <c:v>15</c:v>
                </c:pt>
                <c:pt idx="3">
                  <c:v>15</c:v>
                </c:pt>
                <c:pt idx="4">
                  <c:v>20</c:v>
                </c:pt>
                <c:pt idx="5">
                  <c:v>20</c:v>
                </c:pt>
              </c:numCache>
            </c:numRef>
          </c:xVal>
          <c:yVal>
            <c:numRef>
              <c:f>Sheet1!$I$113:$I$118</c:f>
              <c:numCache>
                <c:formatCode>General</c:formatCode>
                <c:ptCount val="6"/>
                <c:pt idx="0">
                  <c:v>471.5</c:v>
                </c:pt>
                <c:pt idx="1">
                  <c:v>660</c:v>
                </c:pt>
                <c:pt idx="2">
                  <c:v>1056.5</c:v>
                </c:pt>
                <c:pt idx="3">
                  <c:v>977</c:v>
                </c:pt>
                <c:pt idx="4">
                  <c:v>1017.5</c:v>
                </c:pt>
                <c:pt idx="5">
                  <c:v>1000.5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25-45FE-9CA3-42662CC24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954440"/>
        <c:axId val="822951920"/>
      </c:scatterChart>
      <c:valAx>
        <c:axId val="822954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51920"/>
        <c:crosses val="autoZero"/>
        <c:crossBetween val="midCat"/>
      </c:valAx>
      <c:valAx>
        <c:axId val="82295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54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Sheet1!$K$121:$K$131</c:f>
              <c:strCache>
                <c:ptCount val="11"/>
                <c:pt idx="0">
                  <c:v>10 nm DLC vs Doped Si 0V</c:v>
                </c:pt>
                <c:pt idx="1">
                  <c:v>7 nm DLC vs Au 0V average</c:v>
                </c:pt>
                <c:pt idx="2">
                  <c:v>7 nm DLC vs Au 5V</c:v>
                </c:pt>
                <c:pt idx="3">
                  <c:v>7 nm DLC vs Au 10V</c:v>
                </c:pt>
                <c:pt idx="4">
                  <c:v>7 nm DLC vs Au 20V</c:v>
                </c:pt>
                <c:pt idx="5">
                  <c:v>10 nm DLC vs Au 0V average</c:v>
                </c:pt>
                <c:pt idx="6">
                  <c:v>10+7 nm DLC vs Au 0V</c:v>
                </c:pt>
                <c:pt idx="7">
                  <c:v>10 nm DLC grid on 10 nm Pd -20V</c:v>
                </c:pt>
                <c:pt idx="8">
                  <c:v>10 nm DLC grid on 10 nm Pd 0V</c:v>
                </c:pt>
                <c:pt idx="9">
                  <c:v>10 nm DLC grid on 10 nm Pd 15V</c:v>
                </c:pt>
                <c:pt idx="10">
                  <c:v>10 nm DLC grid on 10 nm Pd 20V</c:v>
                </c:pt>
              </c:strCache>
            </c:strRef>
          </c:cat>
          <c:val>
            <c:numRef>
              <c:f>Sheet1!$L$121:$L$131</c:f>
              <c:numCache>
                <c:formatCode>General</c:formatCode>
                <c:ptCount val="11"/>
                <c:pt idx="0">
                  <c:v>0.81139880496399563</c:v>
                </c:pt>
                <c:pt idx="1">
                  <c:v>0.83054738418128826</c:v>
                </c:pt>
                <c:pt idx="2">
                  <c:v>0.84805081175669972</c:v>
                </c:pt>
                <c:pt idx="3">
                  <c:v>0.86411324335723327</c:v>
                </c:pt>
                <c:pt idx="4">
                  <c:v>0.86703840154004452</c:v>
                </c:pt>
                <c:pt idx="5">
                  <c:v>0.62043206563091446</c:v>
                </c:pt>
                <c:pt idx="6">
                  <c:v>0.60562280359234666</c:v>
                </c:pt>
                <c:pt idx="7">
                  <c:v>0.76854115729421357</c:v>
                </c:pt>
                <c:pt idx="8">
                  <c:v>0.82182235166058359</c:v>
                </c:pt>
                <c:pt idx="9">
                  <c:v>0.82477073429750014</c:v>
                </c:pt>
                <c:pt idx="10">
                  <c:v>0.8260319409455974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D-4BBE-97A5-576957640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4400856"/>
        <c:axId val="784402296"/>
      </c:barChart>
      <c:catAx>
        <c:axId val="784400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402296"/>
        <c:crosses val="autoZero"/>
        <c:auto val="1"/>
        <c:lblAlgn val="ctr"/>
        <c:lblOffset val="100"/>
        <c:noMultiLvlLbl val="0"/>
      </c:catAx>
      <c:valAx>
        <c:axId val="784402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400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83</xdr:row>
      <xdr:rowOff>83820</xdr:rowOff>
    </xdr:from>
    <xdr:to>
      <xdr:col>16</xdr:col>
      <xdr:colOff>259080</xdr:colOff>
      <xdr:row>95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094C3-0BA0-2A79-27EE-7C51D031A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260985</xdr:colOff>
      <xdr:row>68</xdr:row>
      <xdr:rowOff>9525</xdr:rowOff>
    </xdr:from>
    <xdr:to>
      <xdr:col>21</xdr:col>
      <xdr:colOff>451485</xdr:colOff>
      <xdr:row>84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4AADB4-7B8D-6BD3-8D46-9204069DC830}"/>
            </a:ext>
            <a:ext uri="{147F2762-F138-4A5C-976F-8EAC2B608ADB}">
              <a16:predDERef xmlns:a16="http://schemas.microsoft.com/office/drawing/2014/main" pred="{B21094C3-0BA0-2A79-27EE-7C51D031A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289560</xdr:colOff>
      <xdr:row>50</xdr:row>
      <xdr:rowOff>68580</xdr:rowOff>
    </xdr:from>
    <xdr:to>
      <xdr:col>21</xdr:col>
      <xdr:colOff>327660</xdr:colOff>
      <xdr:row>67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D95C52-2884-8163-3D3F-3E04A0759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304800</xdr:colOff>
      <xdr:row>103</xdr:row>
      <xdr:rowOff>179070</xdr:rowOff>
    </xdr:from>
    <xdr:to>
      <xdr:col>23</xdr:col>
      <xdr:colOff>0</xdr:colOff>
      <xdr:row>118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EA4B48-59EB-1E46-2D04-D1773A4BD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243840</xdr:colOff>
      <xdr:row>118</xdr:row>
      <xdr:rowOff>85725</xdr:rowOff>
    </xdr:from>
    <xdr:to>
      <xdr:col>28</xdr:col>
      <xdr:colOff>160020</xdr:colOff>
      <xdr:row>140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B98243-24FD-03B3-CADA-26FBA858E05B}"/>
            </a:ext>
            <a:ext uri="{147F2762-F138-4A5C-976F-8EAC2B608ADB}">
              <a16:predDERef xmlns:a16="http://schemas.microsoft.com/office/drawing/2014/main" pred="{50EA4B48-59EB-1E46-2D04-D1773A4BD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874395</xdr:colOff>
      <xdr:row>133</xdr:row>
      <xdr:rowOff>123825</xdr:rowOff>
    </xdr:from>
    <xdr:to>
      <xdr:col>15</xdr:col>
      <xdr:colOff>577215</xdr:colOff>
      <xdr:row>153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D24C7A-E224-11EA-C168-1E66351FB1F0}"/>
            </a:ext>
            <a:ext uri="{147F2762-F138-4A5C-976F-8EAC2B608ADB}">
              <a16:predDERef xmlns:a16="http://schemas.microsoft.com/office/drawing/2014/main" pred="{E1B98243-24FD-03B3-CADA-26FBA858E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ABE8-E690-45EE-8F7C-0A1BC37A6338}">
  <dimension ref="A1:R175"/>
  <sheetViews>
    <sheetView tabSelected="1" topLeftCell="I105" zoomScaleNormal="100" workbookViewId="0">
      <selection activeCell="T101" sqref="T101"/>
    </sheetView>
  </sheetViews>
  <sheetFormatPr defaultRowHeight="14.45"/>
  <cols>
    <col min="1" max="1" width="39.7109375" customWidth="1"/>
    <col min="2" max="2" width="9.28515625" bestFit="1" customWidth="1"/>
    <col min="8" max="8" width="19.7109375" customWidth="1"/>
    <col min="9" max="9" width="30.5703125" customWidth="1"/>
    <col min="11" max="11" width="27.42578125" bestFit="1" customWidth="1"/>
    <col min="12" max="12" width="33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t="s">
        <v>4</v>
      </c>
      <c r="B2">
        <v>1000</v>
      </c>
      <c r="C2">
        <v>1038</v>
      </c>
      <c r="D2">
        <v>1250</v>
      </c>
    </row>
    <row r="3" spans="1:5">
      <c r="A3" t="s">
        <v>5</v>
      </c>
      <c r="C3">
        <v>1059</v>
      </c>
      <c r="D3">
        <v>1350</v>
      </c>
    </row>
    <row r="4" spans="1:5">
      <c r="C4">
        <v>1038</v>
      </c>
      <c r="D4">
        <v>1213</v>
      </c>
    </row>
    <row r="5" spans="1:5">
      <c r="C5">
        <v>1100</v>
      </c>
      <c r="D5">
        <v>1368</v>
      </c>
    </row>
    <row r="6" spans="1:5">
      <c r="C6">
        <v>1061</v>
      </c>
      <c r="D6">
        <v>1346</v>
      </c>
      <c r="E6" t="s">
        <v>6</v>
      </c>
    </row>
    <row r="7" spans="1:5">
      <c r="B7" t="s">
        <v>7</v>
      </c>
      <c r="C7">
        <f>AVERAGE(C2:C6)</f>
        <v>1059.2</v>
      </c>
      <c r="D7">
        <f>AVERAGE(D2:D6)</f>
        <v>1305.4000000000001</v>
      </c>
      <c r="E7">
        <f>C7/D7</f>
        <v>0.81139880496399563</v>
      </c>
    </row>
    <row r="8" spans="1:5">
      <c r="B8" t="s">
        <v>8</v>
      </c>
      <c r="C8">
        <f>_xlfn.STDEV.P(C2:C6)</f>
        <v>22.657449106199046</v>
      </c>
      <c r="D8">
        <f>_xlfn.STDEV.P(D2:D6)</f>
        <v>61.908319311704794</v>
      </c>
    </row>
    <row r="10" spans="1:5">
      <c r="A10" t="s">
        <v>9</v>
      </c>
      <c r="B10">
        <v>1000</v>
      </c>
      <c r="C10" t="s">
        <v>10</v>
      </c>
    </row>
    <row r="12" spans="1:5">
      <c r="A12" t="s">
        <v>11</v>
      </c>
      <c r="B12">
        <v>1000</v>
      </c>
      <c r="C12" t="s">
        <v>2</v>
      </c>
      <c r="D12" t="s">
        <v>12</v>
      </c>
    </row>
    <row r="13" spans="1:5">
      <c r="A13" t="s">
        <v>13</v>
      </c>
      <c r="C13">
        <v>3151</v>
      </c>
      <c r="D13">
        <v>3989</v>
      </c>
    </row>
    <row r="14" spans="1:5">
      <c r="C14">
        <v>3225</v>
      </c>
      <c r="D14">
        <v>3867</v>
      </c>
    </row>
    <row r="15" spans="1:5">
      <c r="C15">
        <v>3123</v>
      </c>
      <c r="D15">
        <v>3722</v>
      </c>
    </row>
    <row r="16" spans="1:5">
      <c r="C16">
        <v>3057</v>
      </c>
      <c r="D16">
        <v>3837</v>
      </c>
    </row>
    <row r="17" spans="1:6">
      <c r="C17">
        <v>3124</v>
      </c>
      <c r="D17">
        <v>4013</v>
      </c>
      <c r="E17" t="s">
        <v>6</v>
      </c>
    </row>
    <row r="18" spans="1:6">
      <c r="B18" t="s">
        <v>7</v>
      </c>
      <c r="C18">
        <f>AVERAGE(C13:C17)</f>
        <v>3136</v>
      </c>
      <c r="D18">
        <f>AVERAGE(D13:D17)</f>
        <v>3885.6</v>
      </c>
      <c r="E18">
        <f>C18/D18</f>
        <v>0.80708256125180156</v>
      </c>
    </row>
    <row r="19" spans="1:6">
      <c r="B19" t="s">
        <v>8</v>
      </c>
      <c r="C19">
        <f>_xlfn.STDEV.P(C13:C17)</f>
        <v>54.221766846903833</v>
      </c>
      <c r="D19">
        <f>_xlfn.STDEV.P(D13:D17)</f>
        <v>106.20282482118826</v>
      </c>
    </row>
    <row r="21" spans="1:6">
      <c r="A21" t="s">
        <v>14</v>
      </c>
      <c r="B21">
        <v>1000</v>
      </c>
      <c r="C21" t="s">
        <v>15</v>
      </c>
      <c r="D21" t="s">
        <v>16</v>
      </c>
    </row>
    <row r="22" spans="1:6">
      <c r="A22" t="s">
        <v>17</v>
      </c>
      <c r="C22">
        <v>212</v>
      </c>
      <c r="D22">
        <v>213</v>
      </c>
    </row>
    <row r="23" spans="1:6">
      <c r="C23">
        <v>141</v>
      </c>
      <c r="D23">
        <v>195</v>
      </c>
    </row>
    <row r="24" spans="1:6">
      <c r="C24">
        <v>208</v>
      </c>
      <c r="D24">
        <v>123</v>
      </c>
    </row>
    <row r="25" spans="1:6">
      <c r="C25">
        <v>220</v>
      </c>
      <c r="D25">
        <v>261</v>
      </c>
    </row>
    <row r="26" spans="1:6">
      <c r="C26">
        <v>210</v>
      </c>
      <c r="D26">
        <v>203</v>
      </c>
      <c r="E26" t="s">
        <v>6</v>
      </c>
    </row>
    <row r="27" spans="1:6">
      <c r="B27" t="s">
        <v>7</v>
      </c>
      <c r="C27">
        <f>AVERAGE(C22:C26)</f>
        <v>198.2</v>
      </c>
      <c r="D27">
        <f>AVERAGE(D22:D26)</f>
        <v>199</v>
      </c>
      <c r="E27">
        <f>C27/D27</f>
        <v>0.99597989949748733</v>
      </c>
      <c r="F27" t="s">
        <v>18</v>
      </c>
    </row>
    <row r="28" spans="1:6">
      <c r="B28" t="s">
        <v>8</v>
      </c>
      <c r="C28">
        <f>_xlfn.STDEV.P(C22:C26)</f>
        <v>28.888752136428462</v>
      </c>
      <c r="D28">
        <f>_xlfn.STDEV.P(D22:D26)</f>
        <v>44.380175754496513</v>
      </c>
    </row>
    <row r="30" spans="1:6">
      <c r="A30" t="s">
        <v>19</v>
      </c>
      <c r="B30">
        <v>1000</v>
      </c>
      <c r="C30" t="s">
        <v>20</v>
      </c>
      <c r="D30" t="s">
        <v>21</v>
      </c>
    </row>
    <row r="31" spans="1:6">
      <c r="A31" t="s">
        <v>22</v>
      </c>
      <c r="B31" t="s">
        <v>23</v>
      </c>
      <c r="C31">
        <v>928</v>
      </c>
      <c r="D31">
        <v>551</v>
      </c>
    </row>
    <row r="32" spans="1:6">
      <c r="A32" t="s">
        <v>24</v>
      </c>
      <c r="C32">
        <v>836</v>
      </c>
      <c r="D32">
        <v>592</v>
      </c>
    </row>
    <row r="33" spans="1:6">
      <c r="C33">
        <v>918</v>
      </c>
      <c r="D33">
        <v>569</v>
      </c>
    </row>
    <row r="34" spans="1:6">
      <c r="C34">
        <v>888</v>
      </c>
      <c r="D34">
        <v>551</v>
      </c>
    </row>
    <row r="35" spans="1:6">
      <c r="C35">
        <v>887</v>
      </c>
      <c r="D35">
        <v>617</v>
      </c>
      <c r="E35" t="s">
        <v>6</v>
      </c>
    </row>
    <row r="36" spans="1:6">
      <c r="B36" t="s">
        <v>7</v>
      </c>
      <c r="C36">
        <f>AVERAGE(C31:C35)</f>
        <v>891.4</v>
      </c>
      <c r="D36">
        <f>AVERAGE(D31:D35)</f>
        <v>576</v>
      </c>
      <c r="E36">
        <f>C36/D36</f>
        <v>1.5475694444444443</v>
      </c>
      <c r="F36">
        <f>1/E36</f>
        <v>0.64617455687682301</v>
      </c>
    </row>
    <row r="37" spans="1:6">
      <c r="B37" t="s">
        <v>8</v>
      </c>
      <c r="C37">
        <f>_xlfn.STDEV.P(C31:C35)</f>
        <v>32.084887408248761</v>
      </c>
      <c r="D37">
        <f>_xlfn.STDEV.P(D31:D35)</f>
        <v>25.440125785852555</v>
      </c>
    </row>
    <row r="39" spans="1:6">
      <c r="A39" t="s">
        <v>25</v>
      </c>
      <c r="B39">
        <v>1000</v>
      </c>
      <c r="C39" t="s">
        <v>20</v>
      </c>
      <c r="D39" t="s">
        <v>26</v>
      </c>
      <c r="E39">
        <v>10</v>
      </c>
      <c r="F39">
        <v>7</v>
      </c>
    </row>
    <row r="40" spans="1:6">
      <c r="A40" t="s">
        <v>27</v>
      </c>
      <c r="C40">
        <v>508</v>
      </c>
      <c r="D40">
        <v>298</v>
      </c>
      <c r="E40">
        <v>326</v>
      </c>
      <c r="F40">
        <v>417</v>
      </c>
    </row>
    <row r="41" spans="1:6">
      <c r="C41">
        <v>519</v>
      </c>
      <c r="D41">
        <v>291</v>
      </c>
      <c r="E41">
        <v>280</v>
      </c>
      <c r="F41">
        <v>418</v>
      </c>
    </row>
    <row r="42" spans="1:6">
      <c r="C42">
        <v>493</v>
      </c>
      <c r="D42">
        <v>308</v>
      </c>
      <c r="E42">
        <v>314</v>
      </c>
      <c r="F42">
        <v>410</v>
      </c>
    </row>
    <row r="43" spans="1:6">
      <c r="C43">
        <v>555</v>
      </c>
      <c r="D43">
        <v>282</v>
      </c>
      <c r="E43">
        <v>327</v>
      </c>
      <c r="F43">
        <v>438</v>
      </c>
    </row>
    <row r="44" spans="1:6">
      <c r="C44">
        <v>486</v>
      </c>
      <c r="D44">
        <v>327</v>
      </c>
      <c r="E44">
        <v>321</v>
      </c>
      <c r="F44">
        <v>430</v>
      </c>
    </row>
    <row r="45" spans="1:6">
      <c r="B45" t="s">
        <v>7</v>
      </c>
      <c r="C45">
        <f>AVERAGE(C40:C44)</f>
        <v>512.20000000000005</v>
      </c>
      <c r="D45">
        <f>AVERAGE(D40:D44)</f>
        <v>301.2</v>
      </c>
      <c r="E45">
        <f t="shared" ref="E45:F45" si="0">AVERAGE(E40:E44)</f>
        <v>313.60000000000002</v>
      </c>
      <c r="F45">
        <f t="shared" si="0"/>
        <v>422.6</v>
      </c>
    </row>
    <row r="46" spans="1:6">
      <c r="B46" t="s">
        <v>8</v>
      </c>
      <c r="C46">
        <f>_xlfn.STDEV.P(C40:C44)</f>
        <v>24.293208927599498</v>
      </c>
      <c r="D46">
        <f>_xlfn.STDEV.P(D40:D44)</f>
        <v>15.458331087151677</v>
      </c>
      <c r="E46">
        <f t="shared" ref="E46:F46" si="1">_xlfn.STDEV.P(E40:E44)</f>
        <v>17.419529270333342</v>
      </c>
      <c r="F46">
        <f t="shared" si="1"/>
        <v>10.031948963187562</v>
      </c>
    </row>
    <row r="47" spans="1:6">
      <c r="C47" t="s">
        <v>28</v>
      </c>
      <c r="D47">
        <f>C45/D45</f>
        <v>1.7005312084993363</v>
      </c>
      <c r="E47">
        <f>C45/E45</f>
        <v>1.6332908163265307</v>
      </c>
      <c r="F47">
        <f>C45/F45</f>
        <v>1.212020823473734</v>
      </c>
    </row>
    <row r="48" spans="1:6">
      <c r="D48">
        <f>1/D47</f>
        <v>0.58805154236626311</v>
      </c>
      <c r="E48">
        <f t="shared" ref="E48:F48" si="2">1/E47</f>
        <v>0.61226083561108935</v>
      </c>
      <c r="F48">
        <f t="shared" si="2"/>
        <v>0.82506833268254587</v>
      </c>
    </row>
    <row r="50" spans="1:6">
      <c r="A50" t="s">
        <v>29</v>
      </c>
      <c r="B50" t="s">
        <v>30</v>
      </c>
      <c r="C50" t="s">
        <v>2</v>
      </c>
      <c r="D50" t="s">
        <v>12</v>
      </c>
      <c r="E50" t="s">
        <v>6</v>
      </c>
    </row>
    <row r="51" spans="1:6">
      <c r="B51">
        <v>65536</v>
      </c>
      <c r="C51">
        <v>34200</v>
      </c>
      <c r="D51">
        <v>78600</v>
      </c>
      <c r="E51">
        <f>C51/D51</f>
        <v>0.4351145038167939</v>
      </c>
    </row>
    <row r="52" spans="1:6">
      <c r="B52" t="s">
        <v>31</v>
      </c>
      <c r="C52">
        <v>73100</v>
      </c>
      <c r="D52">
        <v>87100</v>
      </c>
      <c r="E52">
        <f>C52/D52</f>
        <v>0.83926521239954077</v>
      </c>
    </row>
    <row r="54" spans="1:6">
      <c r="A54" t="s">
        <v>32</v>
      </c>
      <c r="B54">
        <v>1000</v>
      </c>
      <c r="C54" t="s">
        <v>12</v>
      </c>
      <c r="D54" t="s">
        <v>2</v>
      </c>
    </row>
    <row r="55" spans="1:6">
      <c r="C55">
        <v>1553</v>
      </c>
      <c r="D55">
        <v>1317</v>
      </c>
    </row>
    <row r="56" spans="1:6">
      <c r="C56">
        <v>1533</v>
      </c>
      <c r="D56">
        <v>1377</v>
      </c>
    </row>
    <row r="57" spans="1:6">
      <c r="C57">
        <v>1504</v>
      </c>
      <c r="D57">
        <v>1217</v>
      </c>
    </row>
    <row r="58" spans="1:6">
      <c r="C58">
        <v>1560</v>
      </c>
      <c r="D58">
        <v>1329</v>
      </c>
    </row>
    <row r="59" spans="1:6">
      <c r="C59">
        <v>1543</v>
      </c>
      <c r="D59">
        <v>1305</v>
      </c>
      <c r="E59" t="s">
        <v>6</v>
      </c>
    </row>
    <row r="60" spans="1:6">
      <c r="B60" t="s">
        <v>7</v>
      </c>
      <c r="C60">
        <f>AVERAGE(C55:C59)</f>
        <v>1538.6</v>
      </c>
      <c r="D60">
        <f>AVERAGE(D55:D59)</f>
        <v>1309</v>
      </c>
      <c r="E60">
        <f>C60/D60</f>
        <v>1.1754010695187165</v>
      </c>
      <c r="F60">
        <f>1/E60</f>
        <v>0.85077343039126485</v>
      </c>
    </row>
    <row r="61" spans="1:6">
      <c r="B61" t="s">
        <v>8</v>
      </c>
      <c r="C61">
        <f>_xlfn.STDEV.P(C55:C59)</f>
        <v>19.561186058110074</v>
      </c>
      <c r="D61">
        <f>_xlfn.STDEV.P(D55:D59)</f>
        <v>52.092225907519058</v>
      </c>
    </row>
    <row r="63" spans="1:6">
      <c r="A63" t="s">
        <v>33</v>
      </c>
      <c r="B63">
        <v>1000</v>
      </c>
      <c r="C63" t="s">
        <v>12</v>
      </c>
      <c r="D63" t="s">
        <v>2</v>
      </c>
    </row>
    <row r="64" spans="1:6">
      <c r="C64">
        <v>6242</v>
      </c>
      <c r="D64">
        <v>5291</v>
      </c>
    </row>
    <row r="65" spans="1:12">
      <c r="C65">
        <v>6444</v>
      </c>
      <c r="D65">
        <v>5261</v>
      </c>
    </row>
    <row r="66" spans="1:12">
      <c r="C66">
        <v>6055</v>
      </c>
      <c r="D66">
        <v>5125</v>
      </c>
    </row>
    <row r="67" spans="1:12">
      <c r="C67">
        <v>6109</v>
      </c>
      <c r="D67">
        <v>5291</v>
      </c>
    </row>
    <row r="68" spans="1:12">
      <c r="C68">
        <v>6009</v>
      </c>
      <c r="D68">
        <v>5202</v>
      </c>
      <c r="E68" t="s">
        <v>6</v>
      </c>
    </row>
    <row r="69" spans="1:12">
      <c r="B69" t="s">
        <v>7</v>
      </c>
      <c r="C69">
        <f>AVERAGE(C64:C68)</f>
        <v>6171.8</v>
      </c>
      <c r="D69">
        <f>AVERAGE(D64:D68)</f>
        <v>5234</v>
      </c>
      <c r="E69">
        <f>C69/D69</f>
        <v>1.1791746274359955</v>
      </c>
      <c r="F69">
        <f>1/E69</f>
        <v>0.84805081175669972</v>
      </c>
    </row>
    <row r="70" spans="1:12">
      <c r="B70" t="s">
        <v>8</v>
      </c>
      <c r="C70">
        <f>_xlfn.STDEV.P(C64:C68)</f>
        <v>156.91449901140427</v>
      </c>
      <c r="D70">
        <f>_xlfn.STDEV.P(D64:D68)</f>
        <v>63.453920288663021</v>
      </c>
    </row>
    <row r="71" spans="1:12">
      <c r="H71" t="s">
        <v>34</v>
      </c>
      <c r="I71">
        <v>0</v>
      </c>
      <c r="J71">
        <v>5</v>
      </c>
      <c r="K71">
        <v>10</v>
      </c>
      <c r="L71">
        <v>20</v>
      </c>
    </row>
    <row r="72" spans="1:12">
      <c r="A72" t="s">
        <v>35</v>
      </c>
      <c r="B72">
        <v>1000</v>
      </c>
      <c r="C72" t="s">
        <v>12</v>
      </c>
      <c r="D72" t="s">
        <v>2</v>
      </c>
      <c r="H72" t="s">
        <v>36</v>
      </c>
      <c r="I72">
        <f>1538.6/0.9</f>
        <v>1709.5555555555554</v>
      </c>
      <c r="J72">
        <v>6171.8</v>
      </c>
      <c r="K72">
        <v>7587.2</v>
      </c>
      <c r="L72">
        <v>6025.8</v>
      </c>
    </row>
    <row r="73" spans="1:12">
      <c r="C73">
        <v>7663</v>
      </c>
      <c r="D73">
        <v>6538</v>
      </c>
      <c r="H73" t="s">
        <v>37</v>
      </c>
      <c r="I73">
        <f>1309/0.9</f>
        <v>1454.4444444444443</v>
      </c>
      <c r="J73">
        <v>5234</v>
      </c>
      <c r="K73">
        <v>6556.2</v>
      </c>
      <c r="L73">
        <v>5224.6000000000004</v>
      </c>
    </row>
    <row r="74" spans="1:12">
      <c r="C74">
        <v>7657</v>
      </c>
      <c r="D74">
        <v>6399</v>
      </c>
    </row>
    <row r="75" spans="1:12">
      <c r="C75">
        <v>7394</v>
      </c>
      <c r="D75">
        <v>6562</v>
      </c>
    </row>
    <row r="76" spans="1:12">
      <c r="C76">
        <v>7667</v>
      </c>
      <c r="D76">
        <v>6692</v>
      </c>
    </row>
    <row r="77" spans="1:12">
      <c r="C77">
        <v>7555</v>
      </c>
      <c r="D77">
        <v>6590</v>
      </c>
      <c r="E77" t="s">
        <v>6</v>
      </c>
      <c r="H77" t="s">
        <v>38</v>
      </c>
      <c r="I77">
        <v>0</v>
      </c>
      <c r="J77">
        <v>7</v>
      </c>
      <c r="K77">
        <v>10</v>
      </c>
      <c r="L77">
        <v>17</v>
      </c>
    </row>
    <row r="78" spans="1:12">
      <c r="B78" t="s">
        <v>7</v>
      </c>
      <c r="C78">
        <f>AVERAGE(C73:C77)</f>
        <v>7587.2</v>
      </c>
      <c r="D78">
        <f>AVERAGE(D73:D77)</f>
        <v>6556.2</v>
      </c>
      <c r="E78">
        <f>C78/D78</f>
        <v>1.1572557274030688</v>
      </c>
      <c r="F78">
        <f>1/E78</f>
        <v>0.86411324335723327</v>
      </c>
      <c r="H78" t="s">
        <v>39</v>
      </c>
      <c r="J78">
        <v>0.82506833268254587</v>
      </c>
      <c r="K78">
        <v>0.59468957438500591</v>
      </c>
      <c r="L78">
        <v>0.60562280359234666</v>
      </c>
    </row>
    <row r="79" spans="1:12">
      <c r="B79" t="s">
        <v>8</v>
      </c>
      <c r="C79">
        <f>_xlfn.STDEV.P(C73:C77)</f>
        <v>105.21292696242226</v>
      </c>
      <c r="D79">
        <f>_xlfn.STDEV.P(D73:D77)</f>
        <v>94.510105279805927</v>
      </c>
      <c r="K79">
        <v>0.64617455687682301</v>
      </c>
    </row>
    <row r="81" spans="1:12">
      <c r="A81" t="s">
        <v>40</v>
      </c>
      <c r="B81">
        <v>1000</v>
      </c>
      <c r="C81" t="s">
        <v>12</v>
      </c>
      <c r="D81" t="s">
        <v>2</v>
      </c>
      <c r="H81" t="s">
        <v>34</v>
      </c>
      <c r="I81">
        <v>0</v>
      </c>
      <c r="J81">
        <v>5</v>
      </c>
      <c r="K81">
        <v>10</v>
      </c>
      <c r="L81">
        <v>20</v>
      </c>
    </row>
    <row r="82" spans="1:12">
      <c r="C82">
        <v>5782</v>
      </c>
      <c r="D82">
        <v>5251</v>
      </c>
      <c r="H82" t="s">
        <v>39</v>
      </c>
      <c r="I82">
        <v>0.85077343039126485</v>
      </c>
      <c r="J82">
        <v>0.84805081175669972</v>
      </c>
      <c r="K82">
        <v>0.86411324335723327</v>
      </c>
      <c r="L82">
        <v>0.86703840154004452</v>
      </c>
    </row>
    <row r="83" spans="1:12">
      <c r="C83">
        <v>6057</v>
      </c>
      <c r="D83">
        <v>5006</v>
      </c>
    </row>
    <row r="84" spans="1:12">
      <c r="C84">
        <v>6206</v>
      </c>
      <c r="D84">
        <v>5386</v>
      </c>
      <c r="H84" t="s">
        <v>41</v>
      </c>
      <c r="I84" t="s">
        <v>42</v>
      </c>
    </row>
    <row r="85" spans="1:12">
      <c r="C85">
        <v>6098</v>
      </c>
      <c r="D85">
        <v>5275</v>
      </c>
      <c r="G85" s="1">
        <v>45905</v>
      </c>
      <c r="H85" t="s">
        <v>43</v>
      </c>
      <c r="I85">
        <v>0.80708256125180156</v>
      </c>
    </row>
    <row r="86" spans="1:12">
      <c r="C86">
        <v>5986</v>
      </c>
      <c r="D86">
        <v>5205</v>
      </c>
      <c r="E86" t="s">
        <v>6</v>
      </c>
      <c r="G86" s="1">
        <v>45905</v>
      </c>
      <c r="H86" t="s">
        <v>44</v>
      </c>
      <c r="I86">
        <v>0.83926521239954077</v>
      </c>
    </row>
    <row r="87" spans="1:12">
      <c r="B87" t="s">
        <v>7</v>
      </c>
      <c r="C87">
        <f>AVERAGE(C82:C86)</f>
        <v>6025.8</v>
      </c>
      <c r="D87">
        <f>AVERAGE(D82:D86)</f>
        <v>5224.6000000000004</v>
      </c>
      <c r="E87">
        <f>C87/D87</f>
        <v>1.1533514527427937</v>
      </c>
      <c r="F87">
        <f>1/E87</f>
        <v>0.86703840154004452</v>
      </c>
      <c r="G87" s="1">
        <v>45908</v>
      </c>
      <c r="H87" t="s">
        <v>45</v>
      </c>
      <c r="I87">
        <v>0.85077343039126485</v>
      </c>
    </row>
    <row r="88" spans="1:12">
      <c r="B88" t="s">
        <v>8</v>
      </c>
      <c r="C88">
        <f>_xlfn.STDEV.P(C82:C86)</f>
        <v>141.19546734934517</v>
      </c>
      <c r="D88">
        <f>_xlfn.STDEV.P(D82:D86)</f>
        <v>124.46461344494666</v>
      </c>
      <c r="G88" s="1">
        <v>45908</v>
      </c>
      <c r="H88" t="s">
        <v>46</v>
      </c>
      <c r="I88">
        <v>0.84805081175669972</v>
      </c>
    </row>
    <row r="89" spans="1:12">
      <c r="G89" s="1">
        <v>45908</v>
      </c>
      <c r="H89" t="s">
        <v>47</v>
      </c>
      <c r="I89">
        <v>0.86411324335723327</v>
      </c>
    </row>
    <row r="90" spans="1:12">
      <c r="G90" s="1">
        <v>45908</v>
      </c>
      <c r="H90" t="s">
        <v>48</v>
      </c>
      <c r="I90">
        <v>0.86703840154004452</v>
      </c>
    </row>
    <row r="91" spans="1:12">
      <c r="G91" s="1">
        <v>45912</v>
      </c>
      <c r="H91" t="s">
        <v>49</v>
      </c>
      <c r="I91">
        <v>0.64617455687682301</v>
      </c>
    </row>
    <row r="92" spans="1:12">
      <c r="G92" s="1">
        <v>45912</v>
      </c>
      <c r="H92" t="s">
        <v>50</v>
      </c>
      <c r="I92">
        <v>0.60562280359234666</v>
      </c>
    </row>
    <row r="93" spans="1:12">
      <c r="G93" s="1">
        <v>45912</v>
      </c>
      <c r="H93" t="s">
        <v>51</v>
      </c>
      <c r="I93">
        <v>0.59468957438500591</v>
      </c>
    </row>
    <row r="94" spans="1:12">
      <c r="G94" s="1">
        <v>45912</v>
      </c>
      <c r="H94" t="s">
        <v>43</v>
      </c>
      <c r="I94">
        <v>0.82506833268254587</v>
      </c>
    </row>
    <row r="95" spans="1:12">
      <c r="G95" s="1">
        <v>45912</v>
      </c>
      <c r="H95" t="s">
        <v>52</v>
      </c>
      <c r="I95">
        <v>0.81139880496399563</v>
      </c>
    </row>
    <row r="96" spans="1:12">
      <c r="G96" s="1"/>
    </row>
    <row r="97" spans="1:18">
      <c r="B97" t="s">
        <v>53</v>
      </c>
      <c r="G97" s="1"/>
      <c r="H97" t="s">
        <v>54</v>
      </c>
    </row>
    <row r="98" spans="1:18">
      <c r="A98" t="s">
        <v>55</v>
      </c>
      <c r="B98" t="s">
        <v>56</v>
      </c>
      <c r="C98" t="s">
        <v>56</v>
      </c>
      <c r="D98" t="s">
        <v>56</v>
      </c>
      <c r="E98" t="s">
        <v>2</v>
      </c>
      <c r="F98" t="s">
        <v>2</v>
      </c>
      <c r="G98" s="1" t="s">
        <v>2</v>
      </c>
      <c r="H98" t="s">
        <v>56</v>
      </c>
      <c r="I98" t="s">
        <v>2</v>
      </c>
      <c r="J98" t="s">
        <v>57</v>
      </c>
      <c r="K98" t="s">
        <v>58</v>
      </c>
      <c r="M98" t="s">
        <v>57</v>
      </c>
      <c r="N98" t="s">
        <v>58</v>
      </c>
      <c r="P98" t="s">
        <v>58</v>
      </c>
      <c r="Q98" t="s">
        <v>59</v>
      </c>
      <c r="R98" t="s">
        <v>60</v>
      </c>
    </row>
    <row r="99" spans="1:18">
      <c r="A99" t="s">
        <v>61</v>
      </c>
      <c r="B99">
        <v>2603</v>
      </c>
      <c r="E99">
        <v>2349</v>
      </c>
      <c r="F99">
        <v>2222</v>
      </c>
      <c r="G99" s="1"/>
      <c r="H99">
        <f>AVERAGE(B99:D99)</f>
        <v>2603</v>
      </c>
      <c r="I99">
        <f>AVERAGE(E99:G99)</f>
        <v>2285.5</v>
      </c>
      <c r="J99">
        <f>I99/H99</f>
        <v>0.8780253553592009</v>
      </c>
      <c r="K99">
        <v>0</v>
      </c>
      <c r="M99">
        <v>0.76854115729421357</v>
      </c>
      <c r="N99">
        <v>-20</v>
      </c>
      <c r="P99">
        <v>-20</v>
      </c>
      <c r="Q99">
        <v>0.76854115729421357</v>
      </c>
    </row>
    <row r="100" spans="1:18">
      <c r="A100" t="s">
        <v>62</v>
      </c>
      <c r="B100">
        <v>1838</v>
      </c>
      <c r="C100">
        <v>1750</v>
      </c>
      <c r="E100">
        <v>1488</v>
      </c>
      <c r="F100">
        <v>1400</v>
      </c>
      <c r="G100" s="1"/>
      <c r="H100">
        <f t="shared" ref="H100:H109" si="3">AVERAGE(B100:D100)</f>
        <v>1794</v>
      </c>
      <c r="I100">
        <f t="shared" ref="I100:I109" si="4">AVERAGE(E100:G100)</f>
        <v>1444</v>
      </c>
      <c r="J100">
        <f t="shared" ref="J100:J109" si="5">I100/H100</f>
        <v>0.80490523968784833</v>
      </c>
      <c r="K100">
        <v>0</v>
      </c>
      <c r="M100">
        <v>0.8780253553592009</v>
      </c>
      <c r="N100">
        <v>0</v>
      </c>
      <c r="P100">
        <v>0</v>
      </c>
      <c r="Q100">
        <f>AVERAGE(M100:M103)</f>
        <v>0.82182235166058359</v>
      </c>
      <c r="R100">
        <f>STDEV(M100:M103)</f>
        <v>4.2085209611044651E-2</v>
      </c>
    </row>
    <row r="101" spans="1:18">
      <c r="A101" t="s">
        <v>63</v>
      </c>
      <c r="B101">
        <v>1186</v>
      </c>
      <c r="C101">
        <v>1313</v>
      </c>
      <c r="E101">
        <v>1059</v>
      </c>
      <c r="F101">
        <v>996</v>
      </c>
      <c r="H101">
        <f t="shared" si="3"/>
        <v>1249.5</v>
      </c>
      <c r="I101">
        <f t="shared" si="4"/>
        <v>1027.5</v>
      </c>
      <c r="J101">
        <f t="shared" si="5"/>
        <v>0.8223289315726291</v>
      </c>
      <c r="K101">
        <v>15</v>
      </c>
      <c r="M101">
        <v>0.80490523968784833</v>
      </c>
      <c r="N101">
        <v>0</v>
      </c>
      <c r="P101">
        <v>15</v>
      </c>
      <c r="Q101">
        <f>AVERAGE(M104:M106)</f>
        <v>0.82477073429750014</v>
      </c>
      <c r="R101">
        <f>STDEV(M104:M106)</f>
        <v>2.3074420466065613E-3</v>
      </c>
    </row>
    <row r="102" spans="1:18">
      <c r="A102" t="s">
        <v>64</v>
      </c>
      <c r="M102">
        <v>0.77876106194690264</v>
      </c>
      <c r="N102">
        <v>0</v>
      </c>
      <c r="P102">
        <v>20</v>
      </c>
      <c r="Q102">
        <f>AVERAGE(M107:M108)</f>
        <v>0.8260319409455974</v>
      </c>
      <c r="R102">
        <f>STDEV(M107:M108)</f>
        <v>4.2552583262436751E-2</v>
      </c>
    </row>
    <row r="103" spans="1:18">
      <c r="A103" t="s">
        <v>65</v>
      </c>
      <c r="B103">
        <v>1231</v>
      </c>
      <c r="C103">
        <v>1330</v>
      </c>
      <c r="E103">
        <v>1033</v>
      </c>
      <c r="F103">
        <v>1080</v>
      </c>
      <c r="H103">
        <f t="shared" si="3"/>
        <v>1280.5</v>
      </c>
      <c r="I103">
        <f t="shared" si="4"/>
        <v>1056.5</v>
      </c>
      <c r="J103">
        <f t="shared" si="5"/>
        <v>0.82506833268254587</v>
      </c>
      <c r="K103">
        <v>15</v>
      </c>
      <c r="M103">
        <v>0.82559774964838251</v>
      </c>
      <c r="N103">
        <v>0</v>
      </c>
    </row>
    <row r="104" spans="1:18">
      <c r="A104" t="s">
        <v>66</v>
      </c>
      <c r="B104">
        <v>1156</v>
      </c>
      <c r="C104">
        <v>1207</v>
      </c>
      <c r="E104">
        <v>954</v>
      </c>
      <c r="F104">
        <v>1000</v>
      </c>
      <c r="H104">
        <f t="shared" si="3"/>
        <v>1181.5</v>
      </c>
      <c r="I104">
        <f t="shared" si="4"/>
        <v>977</v>
      </c>
      <c r="J104">
        <f t="shared" si="5"/>
        <v>0.82691493863732546</v>
      </c>
      <c r="K104">
        <v>15</v>
      </c>
      <c r="M104">
        <v>0.82232893157262898</v>
      </c>
      <c r="N104">
        <v>15</v>
      </c>
    </row>
    <row r="105" spans="1:18">
      <c r="A105" t="s">
        <v>67</v>
      </c>
      <c r="B105">
        <v>1217</v>
      </c>
      <c r="C105">
        <v>1160</v>
      </c>
      <c r="E105">
        <v>989</v>
      </c>
      <c r="F105">
        <v>1046</v>
      </c>
      <c r="H105">
        <f t="shared" si="3"/>
        <v>1188.5</v>
      </c>
      <c r="I105">
        <f t="shared" si="4"/>
        <v>1017.5</v>
      </c>
      <c r="J105">
        <f t="shared" si="5"/>
        <v>0.85612116112747161</v>
      </c>
      <c r="K105">
        <v>20</v>
      </c>
      <c r="M105">
        <v>0.82506833268254587</v>
      </c>
      <c r="N105">
        <v>15</v>
      </c>
    </row>
    <row r="106" spans="1:18">
      <c r="A106" t="s">
        <v>68</v>
      </c>
      <c r="B106">
        <v>806</v>
      </c>
      <c r="C106">
        <v>889</v>
      </c>
      <c r="E106">
        <v>640</v>
      </c>
      <c r="F106">
        <v>680</v>
      </c>
      <c r="H106">
        <f t="shared" si="3"/>
        <v>847.5</v>
      </c>
      <c r="I106">
        <f t="shared" si="4"/>
        <v>660</v>
      </c>
      <c r="J106">
        <f t="shared" si="5"/>
        <v>0.77876106194690264</v>
      </c>
      <c r="K106">
        <v>0</v>
      </c>
      <c r="M106">
        <v>0.82691493863732546</v>
      </c>
      <c r="N106">
        <v>15</v>
      </c>
    </row>
    <row r="107" spans="1:18">
      <c r="A107" t="s">
        <v>69</v>
      </c>
      <c r="B107">
        <v>578</v>
      </c>
      <c r="C107">
        <v>649</v>
      </c>
      <c r="E107">
        <v>436</v>
      </c>
      <c r="F107">
        <v>507</v>
      </c>
      <c r="H107">
        <f t="shared" si="3"/>
        <v>613.5</v>
      </c>
      <c r="I107">
        <f t="shared" si="4"/>
        <v>471.5</v>
      </c>
      <c r="J107">
        <f t="shared" si="5"/>
        <v>0.76854115729421357</v>
      </c>
      <c r="K107">
        <v>-20</v>
      </c>
      <c r="M107">
        <v>0.85612116112747161</v>
      </c>
      <c r="N107">
        <v>20</v>
      </c>
    </row>
    <row r="108" spans="1:18">
      <c r="A108" t="s">
        <v>70</v>
      </c>
      <c r="B108">
        <v>1200</v>
      </c>
      <c r="C108">
        <v>1314</v>
      </c>
      <c r="E108">
        <v>972</v>
      </c>
      <c r="F108">
        <v>1029</v>
      </c>
      <c r="H108">
        <f t="shared" si="3"/>
        <v>1257</v>
      </c>
      <c r="I108">
        <f t="shared" si="4"/>
        <v>1000.5</v>
      </c>
      <c r="J108">
        <f t="shared" si="5"/>
        <v>0.79594272076372319</v>
      </c>
      <c r="K108">
        <v>20</v>
      </c>
      <c r="M108">
        <v>0.79594272076372319</v>
      </c>
      <c r="N108">
        <v>20</v>
      </c>
    </row>
    <row r="109" spans="1:18">
      <c r="A109" t="s">
        <v>71</v>
      </c>
      <c r="B109">
        <v>742</v>
      </c>
      <c r="C109">
        <v>680</v>
      </c>
      <c r="E109">
        <v>556</v>
      </c>
      <c r="F109">
        <v>618</v>
      </c>
      <c r="H109">
        <f t="shared" si="3"/>
        <v>711</v>
      </c>
      <c r="I109">
        <f t="shared" si="4"/>
        <v>587</v>
      </c>
      <c r="J109">
        <f t="shared" si="5"/>
        <v>0.82559774964838251</v>
      </c>
      <c r="K109">
        <v>0</v>
      </c>
    </row>
    <row r="110" spans="1:18">
      <c r="A110" t="s">
        <v>72</v>
      </c>
      <c r="B110" t="s">
        <v>73</v>
      </c>
    </row>
    <row r="112" spans="1:18">
      <c r="G112" t="s">
        <v>58</v>
      </c>
      <c r="H112" t="s">
        <v>56</v>
      </c>
      <c r="I112" t="s">
        <v>2</v>
      </c>
    </row>
    <row r="113" spans="7:12">
      <c r="G113">
        <v>-20</v>
      </c>
      <c r="H113">
        <v>613.5</v>
      </c>
      <c r="I113">
        <v>471.5</v>
      </c>
    </row>
    <row r="114" spans="7:12">
      <c r="G114">
        <v>0</v>
      </c>
      <c r="H114">
        <v>847.5</v>
      </c>
      <c r="I114">
        <v>660</v>
      </c>
    </row>
    <row r="115" spans="7:12">
      <c r="G115">
        <v>15</v>
      </c>
      <c r="H115">
        <v>1280.5</v>
      </c>
      <c r="I115">
        <v>1056.5</v>
      </c>
    </row>
    <row r="116" spans="7:12">
      <c r="G116">
        <v>15</v>
      </c>
      <c r="H116">
        <v>1181.5</v>
      </c>
      <c r="I116">
        <v>977</v>
      </c>
    </row>
    <row r="117" spans="7:12">
      <c r="G117">
        <v>20</v>
      </c>
      <c r="H117">
        <v>1188.5</v>
      </c>
      <c r="I117">
        <v>1017.5</v>
      </c>
    </row>
    <row r="118" spans="7:12">
      <c r="G118">
        <v>20</v>
      </c>
      <c r="H118">
        <v>1257</v>
      </c>
      <c r="I118">
        <v>1000.5</v>
      </c>
    </row>
    <row r="120" spans="7:12">
      <c r="H120" t="s">
        <v>41</v>
      </c>
      <c r="I120" t="s">
        <v>42</v>
      </c>
    </row>
    <row r="121" spans="7:12">
      <c r="G121" s="1">
        <v>45905</v>
      </c>
      <c r="H121" t="s">
        <v>74</v>
      </c>
      <c r="I121">
        <v>0.80708256125180156</v>
      </c>
      <c r="J121" s="1">
        <v>45912</v>
      </c>
      <c r="K121" t="s">
        <v>75</v>
      </c>
      <c r="L121">
        <v>0.81139880496399563</v>
      </c>
    </row>
    <row r="122" spans="7:12">
      <c r="G122" s="1">
        <v>45905</v>
      </c>
      <c r="H122" t="s">
        <v>76</v>
      </c>
      <c r="I122">
        <v>0.83926521239954077</v>
      </c>
      <c r="K122" t="s">
        <v>77</v>
      </c>
      <c r="L122">
        <f>AVERAGE(I121,I122,I123,I130)</f>
        <v>0.83054738418128826</v>
      </c>
    </row>
    <row r="123" spans="7:12">
      <c r="G123" s="1">
        <v>45908</v>
      </c>
      <c r="H123" t="s">
        <v>74</v>
      </c>
      <c r="I123">
        <v>0.85077343039126485</v>
      </c>
      <c r="J123" s="1">
        <v>45908</v>
      </c>
      <c r="K123" t="s">
        <v>78</v>
      </c>
      <c r="L123">
        <v>0.84805081175669972</v>
      </c>
    </row>
    <row r="124" spans="7:12">
      <c r="G124" s="1">
        <v>45908</v>
      </c>
      <c r="H124" t="s">
        <v>78</v>
      </c>
      <c r="I124">
        <v>0.84805081175669972</v>
      </c>
      <c r="J124" s="1">
        <v>45908</v>
      </c>
      <c r="K124" t="s">
        <v>79</v>
      </c>
      <c r="L124">
        <v>0.86411324335723327</v>
      </c>
    </row>
    <row r="125" spans="7:12">
      <c r="G125" s="1">
        <v>45908</v>
      </c>
      <c r="H125" t="s">
        <v>79</v>
      </c>
      <c r="I125">
        <v>0.86411324335723327</v>
      </c>
      <c r="J125" s="1">
        <v>45908</v>
      </c>
      <c r="K125" t="s">
        <v>80</v>
      </c>
      <c r="L125">
        <v>0.86703840154004452</v>
      </c>
    </row>
    <row r="126" spans="7:12">
      <c r="G126" s="1">
        <v>45908</v>
      </c>
      <c r="H126" t="s">
        <v>80</v>
      </c>
      <c r="I126">
        <v>0.86703840154004452</v>
      </c>
      <c r="K126" t="s">
        <v>81</v>
      </c>
      <c r="L126">
        <f>AVERAGE(I127,I129)</f>
        <v>0.62043206563091446</v>
      </c>
    </row>
    <row r="127" spans="7:12">
      <c r="G127" s="1">
        <v>45912</v>
      </c>
      <c r="H127" t="s">
        <v>82</v>
      </c>
      <c r="I127">
        <v>0.64617455687682301</v>
      </c>
      <c r="J127" s="1">
        <v>45912</v>
      </c>
      <c r="K127" t="s">
        <v>83</v>
      </c>
      <c r="L127">
        <v>0.60562280359234666</v>
      </c>
    </row>
    <row r="128" spans="7:12">
      <c r="G128" s="1">
        <v>45912</v>
      </c>
      <c r="H128" t="s">
        <v>83</v>
      </c>
      <c r="I128">
        <v>0.60562280359234666</v>
      </c>
      <c r="J128" s="1">
        <v>45936</v>
      </c>
      <c r="K128" t="s">
        <v>84</v>
      </c>
      <c r="L128">
        <v>0.76854115729421357</v>
      </c>
    </row>
    <row r="129" spans="7:12">
      <c r="G129" s="1">
        <v>45912</v>
      </c>
      <c r="H129" t="s">
        <v>82</v>
      </c>
      <c r="I129">
        <v>0.59468957438500591</v>
      </c>
      <c r="J129" s="1">
        <v>45936</v>
      </c>
      <c r="K129" t="s">
        <v>85</v>
      </c>
      <c r="L129">
        <v>0.82182235166058359</v>
      </c>
    </row>
    <row r="130" spans="7:12">
      <c r="G130" s="1">
        <v>45912</v>
      </c>
      <c r="H130" t="s">
        <v>74</v>
      </c>
      <c r="I130">
        <v>0.82506833268254587</v>
      </c>
      <c r="J130" s="1">
        <v>45936</v>
      </c>
      <c r="K130" t="s">
        <v>86</v>
      </c>
      <c r="L130">
        <v>0.82477073429750014</v>
      </c>
    </row>
    <row r="131" spans="7:12">
      <c r="G131" s="1"/>
      <c r="J131" s="1">
        <v>45936</v>
      </c>
      <c r="K131" t="s">
        <v>87</v>
      </c>
      <c r="L131">
        <v>0.8260319409455974</v>
      </c>
    </row>
    <row r="132" spans="7:12">
      <c r="G132" s="1"/>
    </row>
    <row r="133" spans="7:12">
      <c r="G133" s="1"/>
    </row>
    <row r="134" spans="7:12">
      <c r="G134" s="1"/>
    </row>
    <row r="135" spans="7:12">
      <c r="G135" s="1"/>
    </row>
    <row r="155" spans="8:13">
      <c r="H155" s="1">
        <v>45905</v>
      </c>
      <c r="I155" t="s">
        <v>74</v>
      </c>
      <c r="J155" s="2">
        <v>0.80708256125180156</v>
      </c>
      <c r="K155" s="1">
        <v>45912</v>
      </c>
      <c r="L155" t="s">
        <v>75</v>
      </c>
      <c r="M155" s="2">
        <v>0.81139880496399563</v>
      </c>
    </row>
    <row r="156" spans="8:13">
      <c r="H156" s="1">
        <v>45905</v>
      </c>
      <c r="I156" t="s">
        <v>76</v>
      </c>
      <c r="J156" s="2">
        <v>0.83926521239954077</v>
      </c>
      <c r="L156" t="s">
        <v>77</v>
      </c>
      <c r="M156" s="2">
        <f>AVERAGE(J155,J156,J157,J164)</f>
        <v>0.83054738418128826</v>
      </c>
    </row>
    <row r="157" spans="8:13">
      <c r="H157" s="1">
        <v>45908</v>
      </c>
      <c r="I157" t="s">
        <v>74</v>
      </c>
      <c r="J157" s="2">
        <v>0.85077343039126485</v>
      </c>
      <c r="K157" s="1">
        <v>45908</v>
      </c>
      <c r="L157" t="s">
        <v>78</v>
      </c>
      <c r="M157" s="2">
        <v>0.84805081175669972</v>
      </c>
    </row>
    <row r="158" spans="8:13">
      <c r="H158" s="1">
        <v>45908</v>
      </c>
      <c r="I158" t="s">
        <v>78</v>
      </c>
      <c r="J158" s="2">
        <v>0.84805081175669972</v>
      </c>
      <c r="K158" s="1">
        <v>45908</v>
      </c>
      <c r="L158" t="s">
        <v>79</v>
      </c>
      <c r="M158" s="2">
        <v>0.86411324335723327</v>
      </c>
    </row>
    <row r="159" spans="8:13">
      <c r="H159" s="1">
        <v>45908</v>
      </c>
      <c r="I159" t="s">
        <v>79</v>
      </c>
      <c r="J159" s="2">
        <v>0.86411324335723327</v>
      </c>
      <c r="K159" s="1">
        <v>45908</v>
      </c>
      <c r="L159" t="s">
        <v>80</v>
      </c>
      <c r="M159" s="2">
        <v>0.86703840154004452</v>
      </c>
    </row>
    <row r="160" spans="8:13">
      <c r="H160" s="1">
        <v>45908</v>
      </c>
      <c r="I160" t="s">
        <v>80</v>
      </c>
      <c r="J160" s="2">
        <v>0.86703840154004452</v>
      </c>
      <c r="L160" t="s">
        <v>81</v>
      </c>
      <c r="M160" s="2">
        <f>AVERAGE(J161,J163)</f>
        <v>0.62043206563091446</v>
      </c>
    </row>
    <row r="161" spans="8:13">
      <c r="H161" s="1">
        <v>45912</v>
      </c>
      <c r="I161" t="s">
        <v>82</v>
      </c>
      <c r="J161" s="2">
        <v>0.64617455687682301</v>
      </c>
      <c r="K161" s="1">
        <v>45912</v>
      </c>
      <c r="L161" t="s">
        <v>83</v>
      </c>
      <c r="M161" s="2">
        <v>0.60562280359234666</v>
      </c>
    </row>
    <row r="162" spans="8:13">
      <c r="H162" s="1">
        <v>45912</v>
      </c>
      <c r="I162" t="s">
        <v>83</v>
      </c>
      <c r="J162" s="2">
        <v>0.60562280359234666</v>
      </c>
      <c r="K162" s="1">
        <v>45936</v>
      </c>
      <c r="L162" t="s">
        <v>84</v>
      </c>
      <c r="M162" s="2">
        <v>0.76854115729421357</v>
      </c>
    </row>
    <row r="163" spans="8:13">
      <c r="H163" s="1">
        <v>45912</v>
      </c>
      <c r="I163" t="s">
        <v>82</v>
      </c>
      <c r="J163" s="2">
        <v>0.59468957438500591</v>
      </c>
      <c r="K163" s="1">
        <v>45936</v>
      </c>
      <c r="L163" t="s">
        <v>85</v>
      </c>
      <c r="M163" s="2">
        <v>0.82182235166058359</v>
      </c>
    </row>
    <row r="164" spans="8:13">
      <c r="H164" s="1">
        <v>45912</v>
      </c>
      <c r="I164" t="s">
        <v>74</v>
      </c>
      <c r="J164" s="2">
        <v>0.82506833268254587</v>
      </c>
      <c r="K164" s="1">
        <v>45936</v>
      </c>
      <c r="L164" t="s">
        <v>86</v>
      </c>
      <c r="M164" s="2">
        <v>0.82477073429750014</v>
      </c>
    </row>
    <row r="165" spans="8:13">
      <c r="H165" s="1"/>
      <c r="K165" s="1">
        <v>45936</v>
      </c>
      <c r="L165" t="s">
        <v>87</v>
      </c>
      <c r="M165" s="2">
        <v>0.8260319409455974</v>
      </c>
    </row>
    <row r="167" spans="8:13">
      <c r="I167" t="s">
        <v>74</v>
      </c>
      <c r="J167" s="2">
        <v>0.83099999999999996</v>
      </c>
      <c r="K167" t="s">
        <v>88</v>
      </c>
      <c r="L167" s="2">
        <v>0.62</v>
      </c>
    </row>
    <row r="168" spans="8:13">
      <c r="I168" t="s">
        <v>78</v>
      </c>
      <c r="J168" s="2">
        <v>0.84805081175669972</v>
      </c>
      <c r="K168" t="s">
        <v>89</v>
      </c>
      <c r="L168">
        <v>0.82199999999999995</v>
      </c>
    </row>
    <row r="169" spans="8:13">
      <c r="I169" t="s">
        <v>79</v>
      </c>
      <c r="J169" s="2">
        <v>0.86411324335723327</v>
      </c>
      <c r="K169" t="s">
        <v>75</v>
      </c>
      <c r="L169">
        <v>0.81100000000000005</v>
      </c>
    </row>
    <row r="170" spans="8:13">
      <c r="I170" t="s">
        <v>80</v>
      </c>
      <c r="J170" s="2">
        <v>0.86703840154004452</v>
      </c>
    </row>
    <row r="172" spans="8:13">
      <c r="I172" t="s">
        <v>84</v>
      </c>
      <c r="J172" s="2">
        <v>0.76854115729421357</v>
      </c>
      <c r="K172" t="s">
        <v>74</v>
      </c>
      <c r="L172" s="2">
        <v>0.83099999999999996</v>
      </c>
    </row>
    <row r="173" spans="8:13">
      <c r="I173" t="s">
        <v>85</v>
      </c>
      <c r="J173" s="2">
        <v>0.82182235166058359</v>
      </c>
      <c r="K173" t="s">
        <v>88</v>
      </c>
      <c r="L173" s="2">
        <v>0.62</v>
      </c>
    </row>
    <row r="174" spans="8:13">
      <c r="I174" t="s">
        <v>86</v>
      </c>
      <c r="J174" s="2">
        <v>0.82477073429750014</v>
      </c>
      <c r="K174" t="s">
        <v>90</v>
      </c>
      <c r="L174">
        <v>0.60599999999999998</v>
      </c>
    </row>
    <row r="175" spans="8:13">
      <c r="I175" t="s">
        <v>87</v>
      </c>
      <c r="J175" s="2">
        <v>0.8260319409455974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9" ma:contentTypeDescription="Create a new document." ma:contentTypeScope="" ma:versionID="9df0557374b2c287f7d04a3da10cfd9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15c191e5418306e3cd86b309ab3a32f8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75CA7D-501D-4FED-8E3E-72664F92F221}"/>
</file>

<file path=customXml/itemProps2.xml><?xml version="1.0" encoding="utf-8"?>
<ds:datastoreItem xmlns:ds="http://schemas.openxmlformats.org/officeDocument/2006/customXml" ds:itemID="{52E1FC93-F2EB-466C-92B5-531D33F1414E}"/>
</file>

<file path=customXml/itemProps3.xml><?xml version="1.0" encoding="utf-8"?>
<ds:datastoreItem xmlns:ds="http://schemas.openxmlformats.org/officeDocument/2006/customXml" ds:itemID="{E6EF74E3-BF3F-4974-9748-988B3D2AD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Yee Ming Feng</dc:creator>
  <cp:keywords/>
  <dc:description/>
  <cp:lastModifiedBy/>
  <cp:revision/>
  <dcterms:created xsi:type="dcterms:W3CDTF">2025-09-24T05:15:24Z</dcterms:created>
  <dcterms:modified xsi:type="dcterms:W3CDTF">2026-04-05T04:01:23Z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