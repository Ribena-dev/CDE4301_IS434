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xr:revisionPtr revIDLastSave="13" documentId="11_8E3D19CA75A5949FB05D03EDE19F212709EA7056" xr6:coauthVersionLast="47" xr6:coauthVersionMax="47" xr10:uidLastSave="{5392A016-33D5-4192-A68C-71C537461A08}"/>
  <bookViews>
    <workbookView xWindow="-105" yWindow="15" windowWidth="23250" windowHeight="12330" firstSheet="5" activeTab="5" xr2:uid="{00000000-000D-0000-FFFF-FFFF00000000}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J39" i="6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E27" i="6"/>
  <c r="E92" i="6" l="1"/>
  <c r="D92" i="6"/>
  <c r="E90" i="6"/>
  <c r="D90" i="6"/>
  <c r="E88" i="6"/>
  <c r="D88" i="6"/>
  <c r="E86" i="6"/>
  <c r="D86" i="6"/>
  <c r="E84" i="6"/>
  <c r="D84" i="6"/>
  <c r="E82" i="6"/>
  <c r="D82" i="6"/>
  <c r="E80" i="6"/>
  <c r="D80" i="6"/>
  <c r="E78" i="6"/>
  <c r="D78" i="6"/>
  <c r="E76" i="6"/>
  <c r="D76" i="6"/>
  <c r="B39" i="6"/>
  <c r="B57" i="6" s="1"/>
  <c r="B75" i="6" s="1"/>
  <c r="A39" i="6"/>
  <c r="A40" i="6" s="1"/>
  <c r="E74" i="6"/>
  <c r="D74" i="6"/>
  <c r="E72" i="6"/>
  <c r="D72" i="6"/>
  <c r="E70" i="6"/>
  <c r="D70" i="6"/>
  <c r="E68" i="6"/>
  <c r="D68" i="6"/>
  <c r="E66" i="6"/>
  <c r="D66" i="6"/>
  <c r="E64" i="6"/>
  <c r="D64" i="6"/>
  <c r="E62" i="6"/>
  <c r="D62" i="6"/>
  <c r="E60" i="6"/>
  <c r="D60" i="6"/>
  <c r="E58" i="6"/>
  <c r="D58" i="6"/>
  <c r="E56" i="6"/>
  <c r="D56" i="6"/>
  <c r="E54" i="6"/>
  <c r="D54" i="6"/>
  <c r="E52" i="6"/>
  <c r="D52" i="6"/>
  <c r="E50" i="6"/>
  <c r="D50" i="6"/>
  <c r="E48" i="6"/>
  <c r="D48" i="6"/>
  <c r="E46" i="6"/>
  <c r="D46" i="6"/>
  <c r="E44" i="6"/>
  <c r="D44" i="6"/>
  <c r="E42" i="6"/>
  <c r="D42" i="6"/>
  <c r="E40" i="6"/>
  <c r="D40" i="6"/>
  <c r="A57" i="6" l="1"/>
  <c r="A58" i="6" s="1"/>
  <c r="A41" i="6"/>
  <c r="A43" i="6" s="1"/>
  <c r="A45" i="6" s="1"/>
  <c r="A47" i="6" s="1"/>
  <c r="A49" i="6" s="1"/>
  <c r="A51" i="6" s="1"/>
  <c r="A53" i="6" s="1"/>
  <c r="A55" i="6" s="1"/>
  <c r="A56" i="6" s="1"/>
  <c r="B58" i="6"/>
  <c r="B81" i="6"/>
  <c r="B40" i="6"/>
  <c r="A59" i="6"/>
  <c r="A60" i="6" s="1"/>
  <c r="A75" i="6"/>
  <c r="B82" i="6"/>
  <c r="B87" i="6"/>
  <c r="B88" i="6" s="1"/>
  <c r="B77" i="6"/>
  <c r="B63" i="6"/>
  <c r="B59" i="6"/>
  <c r="A42" i="6" l="1"/>
  <c r="A61" i="6"/>
  <c r="A46" i="6"/>
  <c r="A54" i="6"/>
  <c r="A50" i="6"/>
  <c r="A48" i="6"/>
  <c r="A52" i="6"/>
  <c r="A44" i="6"/>
  <c r="B76" i="6"/>
  <c r="A77" i="6"/>
  <c r="A76" i="6"/>
  <c r="B78" i="6"/>
  <c r="B83" i="6"/>
  <c r="B79" i="6"/>
  <c r="B65" i="6"/>
  <c r="B60" i="6"/>
  <c r="B61" i="6"/>
  <c r="B64" i="6"/>
  <c r="B69" i="6"/>
  <c r="B70" i="6" s="1"/>
  <c r="A62" i="6"/>
  <c r="A63" i="6"/>
  <c r="B45" i="6"/>
  <c r="B41" i="6"/>
  <c r="B42" i="6" s="1"/>
  <c r="C28" i="6"/>
  <c r="F28" i="6" s="1"/>
  <c r="C27" i="6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B28" i="6"/>
  <c r="E28" i="6" s="1"/>
  <c r="C29" i="6" l="1"/>
  <c r="F27" i="6"/>
  <c r="A78" i="6"/>
  <c r="A79" i="6"/>
  <c r="B84" i="6"/>
  <c r="B89" i="6"/>
  <c r="B90" i="6" s="1"/>
  <c r="B85" i="6"/>
  <c r="B80" i="6"/>
  <c r="B51" i="6"/>
  <c r="B52" i="6" s="1"/>
  <c r="B46" i="6"/>
  <c r="B62" i="6"/>
  <c r="B67" i="6"/>
  <c r="A64" i="6"/>
  <c r="A65" i="6"/>
  <c r="B66" i="6"/>
  <c r="B71" i="6"/>
  <c r="B72" i="6" s="1"/>
  <c r="B47" i="6"/>
  <c r="B43" i="6"/>
  <c r="D122" i="6"/>
  <c r="D124" i="6" s="1"/>
  <c r="P24" i="5"/>
  <c r="O24" i="5"/>
  <c r="C123" i="6"/>
  <c r="C121" i="6"/>
  <c r="L124" i="6"/>
  <c r="M124" i="6" s="1"/>
  <c r="L123" i="6"/>
  <c r="M123" i="6" s="1"/>
  <c r="L122" i="6"/>
  <c r="M122" i="6" s="1"/>
  <c r="A122" i="6"/>
  <c r="A123" i="6" s="1"/>
  <c r="A124" i="6" s="1"/>
  <c r="L121" i="6"/>
  <c r="M121" i="6" s="1"/>
  <c r="B29" i="6"/>
  <c r="C21" i="6"/>
  <c r="H122" i="6" s="1"/>
  <c r="B21" i="6"/>
  <c r="H123" i="6" s="1"/>
  <c r="G110" i="6"/>
  <c r="G111" i="6" s="1"/>
  <c r="G112" i="6" s="1"/>
  <c r="G113" i="6" s="1"/>
  <c r="G114" i="6" s="1"/>
  <c r="G115" i="6" s="1"/>
  <c r="G116" i="6" s="1"/>
  <c r="G117" i="6" s="1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I6" i="6"/>
  <c r="H6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P18" i="5"/>
  <c r="Q18" i="5" s="1"/>
  <c r="C135" i="5"/>
  <c r="C136" i="5" s="1"/>
  <c r="L15" i="5"/>
  <c r="K15" i="5"/>
  <c r="A15" i="5"/>
  <c r="H14" i="5"/>
  <c r="G14" i="5"/>
  <c r="F14" i="5"/>
  <c r="L14" i="5" s="1"/>
  <c r="E14" i="5"/>
  <c r="K14" i="5" s="1"/>
  <c r="A14" i="5"/>
  <c r="L13" i="5"/>
  <c r="K13" i="5"/>
  <c r="A13" i="5"/>
  <c r="H12" i="5"/>
  <c r="G12" i="5"/>
  <c r="F12" i="5"/>
  <c r="L12" i="5" s="1"/>
  <c r="E12" i="5"/>
  <c r="K12" i="5" s="1"/>
  <c r="A12" i="5"/>
  <c r="L11" i="5"/>
  <c r="K11" i="5"/>
  <c r="A11" i="5"/>
  <c r="R10" i="5"/>
  <c r="R12" i="5" s="1"/>
  <c r="Q10" i="5"/>
  <c r="Q12" i="5" s="1"/>
  <c r="P10" i="5"/>
  <c r="P12" i="5" s="1"/>
  <c r="H10" i="5"/>
  <c r="G10" i="5"/>
  <c r="F10" i="5"/>
  <c r="L10" i="5" s="1"/>
  <c r="E10" i="5"/>
  <c r="K10" i="5" s="1"/>
  <c r="A10" i="5"/>
  <c r="L9" i="5"/>
  <c r="K9" i="5"/>
  <c r="A9" i="5"/>
  <c r="H8" i="5"/>
  <c r="G8" i="5"/>
  <c r="F8" i="5"/>
  <c r="L8" i="5" s="1"/>
  <c r="E8" i="5"/>
  <c r="K8" i="5" s="1"/>
  <c r="A8" i="5"/>
  <c r="L7" i="5"/>
  <c r="K7" i="5"/>
  <c r="A7" i="5"/>
  <c r="H6" i="5"/>
  <c r="G6" i="5"/>
  <c r="F6" i="5"/>
  <c r="L6" i="5" s="1"/>
  <c r="E6" i="5"/>
  <c r="K6" i="5" s="1"/>
  <c r="A6" i="5"/>
  <c r="L5" i="5"/>
  <c r="K5" i="5"/>
  <c r="B5" i="5"/>
  <c r="A5" i="5" s="1"/>
  <c r="H4" i="5"/>
  <c r="G4" i="5"/>
  <c r="F4" i="5"/>
  <c r="L4" i="5" s="1"/>
  <c r="E4" i="5"/>
  <c r="K4" i="5" s="1"/>
  <c r="A4" i="5"/>
  <c r="L3" i="5"/>
  <c r="I10" i="4"/>
  <c r="I8" i="4"/>
  <c r="G10" i="4"/>
  <c r="G8" i="4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A81" i="6" l="1"/>
  <c r="A80" i="6"/>
  <c r="B86" i="6"/>
  <c r="B91" i="6"/>
  <c r="B92" i="6" s="1"/>
  <c r="B49" i="6"/>
  <c r="B44" i="6"/>
  <c r="B53" i="6"/>
  <c r="B54" i="6" s="1"/>
  <c r="B48" i="6"/>
  <c r="A66" i="6"/>
  <c r="A67" i="6"/>
  <c r="B68" i="6"/>
  <c r="B73" i="6"/>
  <c r="B74" i="6" s="1"/>
  <c r="E4" i="6"/>
  <c r="J4" i="6" s="1"/>
  <c r="D121" i="6"/>
  <c r="F121" i="6" s="1"/>
  <c r="H135" i="5"/>
  <c r="D29" i="5"/>
  <c r="H136" i="5"/>
  <c r="H141" i="5"/>
  <c r="H142" i="5"/>
  <c r="D135" i="5"/>
  <c r="H121" i="6"/>
  <c r="H124" i="6"/>
  <c r="I3" i="5"/>
  <c r="C122" i="6"/>
  <c r="F122" i="6" s="1"/>
  <c r="C124" i="6"/>
  <c r="F124" i="6" s="1"/>
  <c r="H138" i="5"/>
  <c r="H137" i="5"/>
  <c r="F136" i="5"/>
  <c r="D136" i="5"/>
  <c r="D138" i="5" s="1"/>
  <c r="F29" i="5"/>
  <c r="D142" i="5" s="1"/>
  <c r="J3" i="6"/>
  <c r="L138" i="5"/>
  <c r="M138" i="5" s="1"/>
  <c r="D4" i="5"/>
  <c r="C29" i="5"/>
  <c r="A82" i="6" l="1"/>
  <c r="A83" i="6"/>
  <c r="B55" i="6"/>
  <c r="B56" i="6" s="1"/>
  <c r="B50" i="6"/>
  <c r="A68" i="6"/>
  <c r="A69" i="6"/>
  <c r="E5" i="6"/>
  <c r="J5" i="6" s="1"/>
  <c r="D123" i="6"/>
  <c r="F123" i="6" s="1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A84" i="6" l="1"/>
  <c r="A85" i="6"/>
  <c r="A70" i="6"/>
  <c r="A71" i="6"/>
  <c r="E6" i="6"/>
  <c r="E7" i="6" s="1"/>
  <c r="D31" i="5"/>
  <c r="F30" i="5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J6" i="6"/>
  <c r="A87" i="6" l="1"/>
  <c r="A86" i="6"/>
  <c r="A72" i="6"/>
  <c r="A73" i="6"/>
  <c r="A74" i="6" s="1"/>
  <c r="E8" i="6"/>
  <c r="G30" i="1"/>
  <c r="F31" i="5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J7" i="6"/>
  <c r="A88" i="6" l="1"/>
  <c r="A89" i="6"/>
  <c r="F32" i="5"/>
  <c r="D33" i="5"/>
  <c r="K141" i="5"/>
  <c r="K142" i="5"/>
  <c r="D8" i="5"/>
  <c r="I7" i="5"/>
  <c r="J8" i="6"/>
  <c r="E9" i="6"/>
  <c r="A91" i="6" l="1"/>
  <c r="A92" i="6" s="1"/>
  <c r="A90" i="6"/>
  <c r="F33" i="5"/>
  <c r="D34" i="5"/>
  <c r="L142" i="5"/>
  <c r="M142" i="5" s="1"/>
  <c r="F142" i="5"/>
  <c r="L141" i="5"/>
  <c r="M141" i="5" s="1"/>
  <c r="F141" i="5"/>
  <c r="D9" i="5"/>
  <c r="I8" i="5"/>
  <c r="E10" i="6"/>
  <c r="J9" i="6"/>
  <c r="F34" i="5" l="1"/>
  <c r="D35" i="5"/>
  <c r="I9" i="5"/>
  <c r="D10" i="5"/>
  <c r="E11" i="6"/>
  <c r="J10" i="6"/>
  <c r="F35" i="5" l="1"/>
  <c r="D36" i="5"/>
  <c r="D11" i="5"/>
  <c r="I10" i="5"/>
  <c r="E12" i="6"/>
  <c r="J11" i="6"/>
  <c r="F36" i="5" l="1"/>
  <c r="D37" i="5"/>
  <c r="D12" i="5"/>
  <c r="I11" i="5"/>
  <c r="E13" i="6"/>
  <c r="J12" i="6"/>
  <c r="F37" i="5" l="1"/>
  <c r="D38" i="5"/>
  <c r="D13" i="5"/>
  <c r="I12" i="5"/>
  <c r="J13" i="6"/>
  <c r="E14" i="6"/>
  <c r="F38" i="5" l="1"/>
  <c r="D39" i="5"/>
  <c r="D14" i="5"/>
  <c r="I13" i="5"/>
  <c r="J14" i="6"/>
  <c r="E15" i="6"/>
  <c r="F39" i="5" l="1"/>
  <c r="D40" i="5"/>
  <c r="N122" i="6"/>
  <c r="O122" i="6" s="1"/>
  <c r="P122" i="6" s="1"/>
  <c r="E122" i="6" s="1"/>
  <c r="N123" i="6"/>
  <c r="O123" i="6" s="1"/>
  <c r="P123" i="6" s="1"/>
  <c r="E123" i="6" s="1"/>
  <c r="N124" i="6"/>
  <c r="O124" i="6" s="1"/>
  <c r="P124" i="6" s="1"/>
  <c r="E124" i="6" s="1"/>
  <c r="N121" i="6"/>
  <c r="O121" i="6" s="1"/>
  <c r="I14" i="5"/>
  <c r="D15" i="5"/>
  <c r="M118" i="5"/>
  <c r="D18" i="6"/>
  <c r="E18" i="6" s="1"/>
  <c r="F18" i="6" s="1"/>
  <c r="B25" i="6"/>
  <c r="C25" i="6"/>
  <c r="C30" i="6" s="1"/>
  <c r="J15" i="6"/>
  <c r="B30" i="6" l="1"/>
  <c r="C31" i="6"/>
  <c r="F40" i="5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P121" i="6"/>
  <c r="E121" i="6" s="1"/>
  <c r="R121" i="6"/>
  <c r="S121" i="6" s="1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B31" i="6" l="1"/>
  <c r="B34" i="6" s="1"/>
  <c r="B35" i="6" s="1"/>
  <c r="C39" i="6"/>
  <c r="C57" i="6" s="1"/>
  <c r="C34" i="6"/>
  <c r="C35" i="6" s="1"/>
  <c r="F41" i="5"/>
  <c r="D42" i="5"/>
  <c r="P141" i="5"/>
  <c r="E141" i="5" s="1"/>
  <c r="R135" i="5"/>
  <c r="S135" i="5" s="1"/>
  <c r="O31" i="5"/>
  <c r="E31" i="5" s="1"/>
  <c r="N32" i="5"/>
  <c r="O32" i="5" s="1"/>
  <c r="E32" i="5" s="1"/>
  <c r="H76" i="6" l="1"/>
  <c r="H78" i="6" s="1"/>
  <c r="H80" i="6" s="1"/>
  <c r="H82" i="6" s="1"/>
  <c r="H84" i="6" s="1"/>
  <c r="H86" i="6" s="1"/>
  <c r="H88" i="6" s="1"/>
  <c r="H90" i="6" s="1"/>
  <c r="H92" i="6" s="1"/>
  <c r="H58" i="6"/>
  <c r="H60" i="6" s="1"/>
  <c r="H62" i="6" s="1"/>
  <c r="H64" i="6" s="1"/>
  <c r="H66" i="6" s="1"/>
  <c r="H68" i="6" s="1"/>
  <c r="H70" i="6" s="1"/>
  <c r="H72" i="6" s="1"/>
  <c r="H74" i="6" s="1"/>
  <c r="H40" i="6"/>
  <c r="H42" i="6" s="1"/>
  <c r="H44" i="6" s="1"/>
  <c r="H46" i="6" s="1"/>
  <c r="H48" i="6" s="1"/>
  <c r="H50" i="6" s="1"/>
  <c r="H52" i="6" s="1"/>
  <c r="H54" i="6" s="1"/>
  <c r="H56" i="6" s="1"/>
  <c r="C75" i="6"/>
  <c r="C58" i="6"/>
  <c r="C59" i="6"/>
  <c r="H75" i="6"/>
  <c r="H77" i="6" s="1"/>
  <c r="H79" i="6" s="1"/>
  <c r="H81" i="6" s="1"/>
  <c r="H83" i="6" s="1"/>
  <c r="H85" i="6" s="1"/>
  <c r="H87" i="6" s="1"/>
  <c r="H89" i="6" s="1"/>
  <c r="H91" i="6" s="1"/>
  <c r="H57" i="6"/>
  <c r="H59" i="6" s="1"/>
  <c r="H61" i="6" s="1"/>
  <c r="H63" i="6" s="1"/>
  <c r="H65" i="6" s="1"/>
  <c r="H67" i="6" s="1"/>
  <c r="H69" i="6" s="1"/>
  <c r="H71" i="6" s="1"/>
  <c r="H73" i="6" s="1"/>
  <c r="H39" i="6"/>
  <c r="C41" i="6"/>
  <c r="C40" i="6"/>
  <c r="F42" i="5"/>
  <c r="D43" i="5"/>
  <c r="N33" i="5"/>
  <c r="H41" i="6" l="1"/>
  <c r="C60" i="6"/>
  <c r="C61" i="6"/>
  <c r="C76" i="6"/>
  <c r="C77" i="6"/>
  <c r="C43" i="6"/>
  <c r="C42" i="6"/>
  <c r="F43" i="5"/>
  <c r="D44" i="5"/>
  <c r="O33" i="5"/>
  <c r="E33" i="5" s="1"/>
  <c r="N34" i="5"/>
  <c r="O34" i="5" s="1"/>
  <c r="E34" i="5" s="1"/>
  <c r="C78" i="6" l="1"/>
  <c r="C79" i="6"/>
  <c r="C62" i="6"/>
  <c r="C63" i="6"/>
  <c r="H43" i="6"/>
  <c r="H45" i="6" s="1"/>
  <c r="H47" i="6" s="1"/>
  <c r="H49" i="6" s="1"/>
  <c r="H51" i="6" s="1"/>
  <c r="H53" i="6" s="1"/>
  <c r="H55" i="6" s="1"/>
  <c r="H93" i="6"/>
  <c r="C45" i="6"/>
  <c r="C44" i="6"/>
  <c r="F44" i="5"/>
  <c r="D45" i="5"/>
  <c r="N35" i="5"/>
  <c r="O35" i="5" s="1"/>
  <c r="E35" i="5" s="1"/>
  <c r="C64" i="6" l="1"/>
  <c r="C65" i="6"/>
  <c r="C80" i="6"/>
  <c r="C81" i="6"/>
  <c r="C47" i="6"/>
  <c r="C46" i="6"/>
  <c r="F45" i="5"/>
  <c r="D46" i="5"/>
  <c r="N36" i="5"/>
  <c r="O36" i="5" s="1"/>
  <c r="E36" i="5" s="1"/>
  <c r="C82" i="6" l="1"/>
  <c r="C83" i="6"/>
  <c r="C66" i="6"/>
  <c r="C67" i="6"/>
  <c r="C49" i="6"/>
  <c r="C48" i="6"/>
  <c r="F46" i="5"/>
  <c r="D47" i="5"/>
  <c r="N37" i="5"/>
  <c r="O37" i="5" s="1"/>
  <c r="E37" i="5" s="1"/>
  <c r="C68" i="6" l="1"/>
  <c r="C69" i="6"/>
  <c r="C84" i="6"/>
  <c r="C85" i="6"/>
  <c r="C51" i="6"/>
  <c r="C50" i="6"/>
  <c r="F47" i="5"/>
  <c r="D48" i="5"/>
  <c r="N38" i="5"/>
  <c r="O38" i="5" s="1"/>
  <c r="E38" i="5" s="1"/>
  <c r="C86" i="6" l="1"/>
  <c r="C87" i="6"/>
  <c r="C70" i="6"/>
  <c r="C71" i="6"/>
  <c r="C53" i="6"/>
  <c r="C52" i="6"/>
  <c r="F48" i="5"/>
  <c r="D50" i="5"/>
  <c r="N39" i="5"/>
  <c r="O39" i="5" s="1"/>
  <c r="E39" i="5" s="1"/>
  <c r="C72" i="6" l="1"/>
  <c r="C73" i="6"/>
  <c r="C74" i="6" s="1"/>
  <c r="C88" i="6"/>
  <c r="C89" i="6"/>
  <c r="C55" i="6"/>
  <c r="C56" i="6" s="1"/>
  <c r="C54" i="6"/>
  <c r="F50" i="5"/>
  <c r="D51" i="5"/>
  <c r="N40" i="5"/>
  <c r="O40" i="5" s="1"/>
  <c r="E40" i="5" s="1"/>
  <c r="C90" i="6" l="1"/>
  <c r="C91" i="6"/>
  <c r="C92" i="6" s="1"/>
  <c r="F51" i="5"/>
  <c r="D52" i="5"/>
  <c r="N41" i="5"/>
  <c r="O41" i="5" s="1"/>
  <c r="E41" i="5" s="1"/>
  <c r="F52" i="5" l="1"/>
  <c r="D53" i="5"/>
  <c r="N42" i="5"/>
  <c r="O42" i="5" s="1"/>
  <c r="E42" i="5" s="1"/>
  <c r="F53" i="5" l="1"/>
  <c r="D54" i="5"/>
  <c r="N43" i="5"/>
  <c r="O43" i="5" s="1"/>
  <c r="E43" i="5" s="1"/>
  <c r="F54" i="5" l="1"/>
  <c r="D55" i="5"/>
  <c r="N44" i="5"/>
  <c r="O44" i="5" s="1"/>
  <c r="E44" i="5" s="1"/>
  <c r="F55" i="5" l="1"/>
  <c r="D56" i="5"/>
  <c r="N45" i="5"/>
  <c r="O45" i="5" s="1"/>
  <c r="E45" i="5" s="1"/>
  <c r="F56" i="5" l="1"/>
  <c r="D57" i="5"/>
  <c r="N46" i="5"/>
  <c r="O46" i="5" s="1"/>
  <c r="E46" i="5" s="1"/>
  <c r="F57" i="5" l="1"/>
  <c r="D58" i="5"/>
  <c r="N47" i="5"/>
  <c r="O47" i="5" s="1"/>
  <c r="E47" i="5" s="1"/>
  <c r="F58" i="5" l="1"/>
  <c r="D59" i="5"/>
  <c r="N48" i="5"/>
  <c r="O48" i="5" s="1"/>
  <c r="E48" i="5" s="1"/>
  <c r="F59" i="5" l="1"/>
  <c r="D60" i="5"/>
  <c r="N50" i="5"/>
  <c r="O50" i="5" s="1"/>
  <c r="E50" i="5" s="1"/>
  <c r="F60" i="5" l="1"/>
  <c r="D61" i="5"/>
  <c r="N51" i="5"/>
  <c r="O51" i="5" s="1"/>
  <c r="E51" i="5" s="1"/>
  <c r="F61" i="5" l="1"/>
  <c r="D62" i="5"/>
  <c r="N52" i="5"/>
  <c r="O52" i="5" s="1"/>
  <c r="E52" i="5" s="1"/>
  <c r="F62" i="5" l="1"/>
  <c r="D63" i="5"/>
  <c r="N53" i="5"/>
  <c r="O53" i="5" s="1"/>
  <c r="E53" i="5" s="1"/>
  <c r="F63" i="5" l="1"/>
  <c r="D64" i="5"/>
  <c r="N54" i="5"/>
  <c r="O54" i="5" s="1"/>
  <c r="E54" i="5" s="1"/>
  <c r="F64" i="5" l="1"/>
  <c r="D66" i="5"/>
  <c r="N55" i="5"/>
  <c r="O55" i="5" s="1"/>
  <c r="E55" i="5" s="1"/>
  <c r="F66" i="5" l="1"/>
  <c r="D67" i="5"/>
  <c r="N56" i="5"/>
  <c r="O56" i="5" s="1"/>
  <c r="E56" i="5" s="1"/>
  <c r="F67" i="5" l="1"/>
  <c r="D68" i="5"/>
  <c r="N57" i="5"/>
  <c r="O57" i="5" s="1"/>
  <c r="E57" i="5" s="1"/>
  <c r="F68" i="5" l="1"/>
  <c r="D69" i="5"/>
  <c r="N58" i="5"/>
  <c r="O58" i="5" s="1"/>
  <c r="E58" i="5" s="1"/>
  <c r="F69" i="5" l="1"/>
  <c r="D70" i="5"/>
  <c r="N59" i="5"/>
  <c r="O59" i="5" s="1"/>
  <c r="E59" i="5" s="1"/>
  <c r="F70" i="5" l="1"/>
  <c r="D71" i="5"/>
  <c r="N60" i="5"/>
  <c r="O60" i="5" s="1"/>
  <c r="E60" i="5" s="1"/>
  <c r="F71" i="5" l="1"/>
  <c r="D72" i="5"/>
  <c r="N61" i="5"/>
  <c r="O61" i="5" s="1"/>
  <c r="E61" i="5" s="1"/>
  <c r="F72" i="5" l="1"/>
  <c r="D73" i="5"/>
  <c r="N62" i="5"/>
  <c r="O62" i="5" s="1"/>
  <c r="E62" i="5" s="1"/>
  <c r="F73" i="5" l="1"/>
  <c r="D74" i="5"/>
  <c r="N63" i="5"/>
  <c r="O63" i="5" s="1"/>
  <c r="E63" i="5" s="1"/>
  <c r="F74" i="5" l="1"/>
  <c r="D75" i="5"/>
  <c r="N64" i="5"/>
  <c r="O64" i="5" s="1"/>
  <c r="E64" i="5" s="1"/>
  <c r="F75" i="5" l="1"/>
  <c r="D77" i="5"/>
  <c r="N66" i="5"/>
  <c r="O66" i="5" s="1"/>
  <c r="E66" i="5" s="1"/>
  <c r="F77" i="5" l="1"/>
  <c r="D78" i="5"/>
  <c r="N67" i="5"/>
  <c r="O67" i="5" s="1"/>
  <c r="E67" i="5" s="1"/>
  <c r="F78" i="5" l="1"/>
  <c r="D79" i="5"/>
  <c r="N68" i="5"/>
  <c r="O68" i="5" s="1"/>
  <c r="E68" i="5" s="1"/>
  <c r="F79" i="5" l="1"/>
  <c r="D80" i="5"/>
  <c r="N69" i="5"/>
  <c r="O69" i="5" s="1"/>
  <c r="E69" i="5" s="1"/>
  <c r="F80" i="5" l="1"/>
  <c r="D81" i="5"/>
  <c r="N70" i="5"/>
  <c r="O70" i="5" s="1"/>
  <c r="E70" i="5" s="1"/>
  <c r="F81" i="5" l="1"/>
  <c r="D82" i="5"/>
  <c r="N71" i="5"/>
  <c r="O71" i="5" s="1"/>
  <c r="E71" i="5" s="1"/>
  <c r="F82" i="5" l="1"/>
  <c r="D83" i="5"/>
  <c r="N72" i="5"/>
  <c r="O72" i="5" s="1"/>
  <c r="E72" i="5" s="1"/>
  <c r="F83" i="5" l="1"/>
  <c r="D84" i="5"/>
  <c r="N73" i="5"/>
  <c r="O73" i="5" s="1"/>
  <c r="E73" i="5" s="1"/>
  <c r="F84" i="5" l="1"/>
  <c r="D85" i="5"/>
  <c r="N74" i="5"/>
  <c r="O74" i="5" s="1"/>
  <c r="E74" i="5" s="1"/>
  <c r="F85" i="5" l="1"/>
  <c r="D86" i="5"/>
  <c r="N75" i="5"/>
  <c r="O75" i="5" s="1"/>
  <c r="E75" i="5" s="1"/>
  <c r="F86" i="5" l="1"/>
  <c r="D87" i="5"/>
  <c r="N77" i="5"/>
  <c r="O77" i="5" s="1"/>
  <c r="E77" i="5" s="1"/>
  <c r="F87" i="5" l="1"/>
  <c r="D88" i="5"/>
  <c r="N78" i="5"/>
  <c r="O78" i="5" s="1"/>
  <c r="E78" i="5" s="1"/>
  <c r="F88" i="5" l="1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F104" i="5" l="1"/>
  <c r="D105" i="5"/>
  <c r="N95" i="5"/>
  <c r="O95" i="5" s="1"/>
  <c r="E95" i="5" s="1"/>
  <c r="F105" i="5" l="1"/>
  <c r="D106" i="5"/>
  <c r="N96" i="5"/>
  <c r="O96" i="5" s="1"/>
  <c r="E96" i="5" s="1"/>
  <c r="E27" i="1"/>
  <c r="K135" i="3"/>
  <c r="H135" i="3"/>
  <c r="L134" i="3"/>
  <c r="M134" i="3" s="1"/>
  <c r="H134" i="3"/>
  <c r="K133" i="3"/>
  <c r="L133" i="3" s="1"/>
  <c r="M133" i="3" s="1"/>
  <c r="H133" i="3"/>
  <c r="A133" i="3"/>
  <c r="A134" i="3" s="1"/>
  <c r="A135" i="3" s="1"/>
  <c r="L132" i="3"/>
  <c r="M132" i="3" s="1"/>
  <c r="H132" i="3"/>
  <c r="I128" i="3"/>
  <c r="L128" i="3" s="1"/>
  <c r="M128" i="3" s="1"/>
  <c r="H128" i="3"/>
  <c r="I127" i="3"/>
  <c r="L127" i="3" s="1"/>
  <c r="M127" i="3" s="1"/>
  <c r="H127" i="3"/>
  <c r="I126" i="3"/>
  <c r="L126" i="3" s="1"/>
  <c r="M126" i="3" s="1"/>
  <c r="H126" i="3"/>
  <c r="I125" i="3"/>
  <c r="L125" i="3" s="1"/>
  <c r="M125" i="3" s="1"/>
  <c r="H125" i="3"/>
  <c r="I124" i="3"/>
  <c r="L124" i="3" s="1"/>
  <c r="M124" i="3" s="1"/>
  <c r="H124" i="3"/>
  <c r="I123" i="3"/>
  <c r="L123" i="3" s="1"/>
  <c r="M123" i="3" s="1"/>
  <c r="H123" i="3"/>
  <c r="I122" i="3"/>
  <c r="L122" i="3" s="1"/>
  <c r="M122" i="3" s="1"/>
  <c r="H122" i="3"/>
  <c r="I121" i="3"/>
  <c r="L121" i="3" s="1"/>
  <c r="M121" i="3" s="1"/>
  <c r="H121" i="3"/>
  <c r="I120" i="3"/>
  <c r="L120" i="3" s="1"/>
  <c r="M120" i="3" s="1"/>
  <c r="H120" i="3"/>
  <c r="I119" i="3"/>
  <c r="L119" i="3" s="1"/>
  <c r="M119" i="3" s="1"/>
  <c r="H119" i="3"/>
  <c r="I118" i="3"/>
  <c r="L118" i="3" s="1"/>
  <c r="M118" i="3" s="1"/>
  <c r="H118" i="3"/>
  <c r="I117" i="3"/>
  <c r="L117" i="3" s="1"/>
  <c r="M117" i="3" s="1"/>
  <c r="H117" i="3"/>
  <c r="I116" i="3"/>
  <c r="L116" i="3" s="1"/>
  <c r="M116" i="3" s="1"/>
  <c r="H116" i="3"/>
  <c r="I115" i="3"/>
  <c r="L115" i="3" s="1"/>
  <c r="M115" i="3" s="1"/>
  <c r="H115" i="3"/>
  <c r="I114" i="3"/>
  <c r="L114" i="3" s="1"/>
  <c r="M114" i="3" s="1"/>
  <c r="H114" i="3"/>
  <c r="I113" i="3"/>
  <c r="L113" i="3" s="1"/>
  <c r="M113" i="3" s="1"/>
  <c r="H113" i="3"/>
  <c r="I112" i="3"/>
  <c r="L112" i="3" s="1"/>
  <c r="M112" i="3" s="1"/>
  <c r="H112" i="3"/>
  <c r="I111" i="3"/>
  <c r="L111" i="3" s="1"/>
  <c r="M111" i="3" s="1"/>
  <c r="H111" i="3"/>
  <c r="I110" i="3"/>
  <c r="L110" i="3" s="1"/>
  <c r="M110" i="3" s="1"/>
  <c r="H110" i="3"/>
  <c r="I109" i="3"/>
  <c r="L109" i="3" s="1"/>
  <c r="M109" i="3" s="1"/>
  <c r="H109" i="3"/>
  <c r="I108" i="3"/>
  <c r="L108" i="3" s="1"/>
  <c r="M108" i="3" s="1"/>
  <c r="H108" i="3"/>
  <c r="I107" i="3"/>
  <c r="L107" i="3" s="1"/>
  <c r="M107" i="3" s="1"/>
  <c r="H107" i="3"/>
  <c r="I106" i="3"/>
  <c r="L106" i="3" s="1"/>
  <c r="M106" i="3" s="1"/>
  <c r="H106" i="3"/>
  <c r="I105" i="3"/>
  <c r="L105" i="3" s="1"/>
  <c r="M105" i="3" s="1"/>
  <c r="H105" i="3"/>
  <c r="I104" i="3"/>
  <c r="L104" i="3" s="1"/>
  <c r="M104" i="3" s="1"/>
  <c r="H104" i="3"/>
  <c r="I103" i="3"/>
  <c r="L103" i="3" s="1"/>
  <c r="M103" i="3" s="1"/>
  <c r="H103" i="3"/>
  <c r="I102" i="3"/>
  <c r="L102" i="3" s="1"/>
  <c r="M102" i="3" s="1"/>
  <c r="H102" i="3"/>
  <c r="I101" i="3"/>
  <c r="L101" i="3" s="1"/>
  <c r="M101" i="3" s="1"/>
  <c r="H101" i="3"/>
  <c r="I100" i="3"/>
  <c r="L100" i="3" s="1"/>
  <c r="M100" i="3" s="1"/>
  <c r="H100" i="3"/>
  <c r="I99" i="3"/>
  <c r="L99" i="3" s="1"/>
  <c r="M99" i="3" s="1"/>
  <c r="H99" i="3"/>
  <c r="I98" i="3"/>
  <c r="L98" i="3" s="1"/>
  <c r="M98" i="3" s="1"/>
  <c r="H98" i="3"/>
  <c r="I97" i="3"/>
  <c r="L97" i="3" s="1"/>
  <c r="M97" i="3" s="1"/>
  <c r="H97" i="3"/>
  <c r="I96" i="3"/>
  <c r="L96" i="3" s="1"/>
  <c r="M96" i="3" s="1"/>
  <c r="H96" i="3"/>
  <c r="I95" i="3"/>
  <c r="L95" i="3" s="1"/>
  <c r="M95" i="3" s="1"/>
  <c r="H95" i="3"/>
  <c r="I94" i="3"/>
  <c r="L94" i="3" s="1"/>
  <c r="M94" i="3" s="1"/>
  <c r="H94" i="3"/>
  <c r="I93" i="3"/>
  <c r="L93" i="3" s="1"/>
  <c r="M93" i="3" s="1"/>
  <c r="H93" i="3"/>
  <c r="I92" i="3"/>
  <c r="L92" i="3" s="1"/>
  <c r="M92" i="3" s="1"/>
  <c r="H92" i="3"/>
  <c r="I91" i="3"/>
  <c r="L91" i="3" s="1"/>
  <c r="M91" i="3" s="1"/>
  <c r="H91" i="3"/>
  <c r="I90" i="3"/>
  <c r="L90" i="3" s="1"/>
  <c r="M90" i="3" s="1"/>
  <c r="H90" i="3"/>
  <c r="I89" i="3"/>
  <c r="L89" i="3" s="1"/>
  <c r="M89" i="3" s="1"/>
  <c r="H89" i="3"/>
  <c r="I88" i="3"/>
  <c r="L88" i="3" s="1"/>
  <c r="M88" i="3" s="1"/>
  <c r="H88" i="3"/>
  <c r="I87" i="3"/>
  <c r="L87" i="3" s="1"/>
  <c r="M87" i="3" s="1"/>
  <c r="H87" i="3"/>
  <c r="I86" i="3"/>
  <c r="L86" i="3" s="1"/>
  <c r="M86" i="3" s="1"/>
  <c r="H86" i="3"/>
  <c r="I85" i="3"/>
  <c r="L85" i="3" s="1"/>
  <c r="M85" i="3" s="1"/>
  <c r="H85" i="3"/>
  <c r="I84" i="3"/>
  <c r="L84" i="3" s="1"/>
  <c r="M84" i="3" s="1"/>
  <c r="H84" i="3"/>
  <c r="I83" i="3"/>
  <c r="L83" i="3" s="1"/>
  <c r="M83" i="3" s="1"/>
  <c r="H83" i="3"/>
  <c r="I82" i="3"/>
  <c r="L82" i="3" s="1"/>
  <c r="M82" i="3" s="1"/>
  <c r="H82" i="3"/>
  <c r="I81" i="3"/>
  <c r="L81" i="3" s="1"/>
  <c r="M81" i="3" s="1"/>
  <c r="H81" i="3"/>
  <c r="I80" i="3"/>
  <c r="L80" i="3" s="1"/>
  <c r="M80" i="3" s="1"/>
  <c r="H80" i="3"/>
  <c r="I79" i="3"/>
  <c r="L79" i="3" s="1"/>
  <c r="M79" i="3" s="1"/>
  <c r="H79" i="3"/>
  <c r="I78" i="3"/>
  <c r="L78" i="3" s="1"/>
  <c r="M78" i="3" s="1"/>
  <c r="H78" i="3"/>
  <c r="I77" i="3"/>
  <c r="L77" i="3" s="1"/>
  <c r="M77" i="3" s="1"/>
  <c r="H77" i="3"/>
  <c r="I76" i="3"/>
  <c r="L76" i="3" s="1"/>
  <c r="M76" i="3" s="1"/>
  <c r="H76" i="3"/>
  <c r="I75" i="3"/>
  <c r="L75" i="3" s="1"/>
  <c r="M75" i="3" s="1"/>
  <c r="H75" i="3"/>
  <c r="I74" i="3"/>
  <c r="L74" i="3" s="1"/>
  <c r="M74" i="3" s="1"/>
  <c r="H74" i="3"/>
  <c r="I73" i="3"/>
  <c r="L73" i="3" s="1"/>
  <c r="M73" i="3" s="1"/>
  <c r="H73" i="3"/>
  <c r="I72" i="3"/>
  <c r="L72" i="3" s="1"/>
  <c r="M72" i="3" s="1"/>
  <c r="H72" i="3"/>
  <c r="I71" i="3"/>
  <c r="L71" i="3" s="1"/>
  <c r="M71" i="3" s="1"/>
  <c r="H71" i="3"/>
  <c r="I70" i="3"/>
  <c r="L70" i="3" s="1"/>
  <c r="M70" i="3" s="1"/>
  <c r="H70" i="3"/>
  <c r="I69" i="3"/>
  <c r="L69" i="3" s="1"/>
  <c r="M69" i="3" s="1"/>
  <c r="H69" i="3"/>
  <c r="I68" i="3"/>
  <c r="L68" i="3" s="1"/>
  <c r="M68" i="3" s="1"/>
  <c r="H68" i="3"/>
  <c r="I67" i="3"/>
  <c r="L67" i="3" s="1"/>
  <c r="M67" i="3" s="1"/>
  <c r="H67" i="3"/>
  <c r="I66" i="3"/>
  <c r="L66" i="3" s="1"/>
  <c r="M66" i="3" s="1"/>
  <c r="H66" i="3"/>
  <c r="I65" i="3"/>
  <c r="L65" i="3" s="1"/>
  <c r="M65" i="3" s="1"/>
  <c r="H65" i="3"/>
  <c r="I64" i="3"/>
  <c r="I63" i="3"/>
  <c r="L63" i="3" s="1"/>
  <c r="M63" i="3" s="1"/>
  <c r="H63" i="3"/>
  <c r="I62" i="3"/>
  <c r="I61" i="3"/>
  <c r="L61" i="3" s="1"/>
  <c r="M61" i="3" s="1"/>
  <c r="H61" i="3"/>
  <c r="I60" i="3"/>
  <c r="I59" i="3"/>
  <c r="L59" i="3" s="1"/>
  <c r="M59" i="3" s="1"/>
  <c r="H59" i="3"/>
  <c r="I58" i="3"/>
  <c r="H58" i="3" s="1"/>
  <c r="I57" i="3"/>
  <c r="L57" i="3" s="1"/>
  <c r="M57" i="3" s="1"/>
  <c r="H57" i="3"/>
  <c r="I56" i="3"/>
  <c r="H56" i="3" s="1"/>
  <c r="I55" i="3"/>
  <c r="L55" i="3" s="1"/>
  <c r="M55" i="3" s="1"/>
  <c r="H55" i="3"/>
  <c r="I54" i="3"/>
  <c r="H54" i="3" s="1"/>
  <c r="I53" i="3"/>
  <c r="L53" i="3" s="1"/>
  <c r="M53" i="3" s="1"/>
  <c r="H53" i="3"/>
  <c r="I52" i="3"/>
  <c r="I51" i="3"/>
  <c r="L51" i="3" s="1"/>
  <c r="M51" i="3" s="1"/>
  <c r="H51" i="3"/>
  <c r="I50" i="3"/>
  <c r="H50" i="3" s="1"/>
  <c r="I49" i="3"/>
  <c r="L49" i="3" s="1"/>
  <c r="M49" i="3" s="1"/>
  <c r="H49" i="3"/>
  <c r="I48" i="3"/>
  <c r="I47" i="3"/>
  <c r="L47" i="3" s="1"/>
  <c r="M47" i="3" s="1"/>
  <c r="H47" i="3"/>
  <c r="I46" i="3"/>
  <c r="I45" i="3"/>
  <c r="L45" i="3" s="1"/>
  <c r="M45" i="3" s="1"/>
  <c r="H45" i="3"/>
  <c r="I44" i="3"/>
  <c r="I43" i="3"/>
  <c r="L43" i="3" s="1"/>
  <c r="M43" i="3" s="1"/>
  <c r="H43" i="3"/>
  <c r="I42" i="3"/>
  <c r="H42" i="3" s="1"/>
  <c r="I41" i="3"/>
  <c r="L41" i="3" s="1"/>
  <c r="M41" i="3" s="1"/>
  <c r="H41" i="3"/>
  <c r="I40" i="3"/>
  <c r="H40" i="3" s="1"/>
  <c r="I39" i="3"/>
  <c r="L39" i="3" s="1"/>
  <c r="M39" i="3" s="1"/>
  <c r="H39" i="3"/>
  <c r="I38" i="3"/>
  <c r="H38" i="3" s="1"/>
  <c r="I37" i="3"/>
  <c r="L37" i="3" s="1"/>
  <c r="M37" i="3" s="1"/>
  <c r="H37" i="3"/>
  <c r="I36" i="3"/>
  <c r="I35" i="3"/>
  <c r="L35" i="3" s="1"/>
  <c r="M35" i="3" s="1"/>
  <c r="H35" i="3"/>
  <c r="I34" i="3"/>
  <c r="H34" i="3" s="1"/>
  <c r="I33" i="3"/>
  <c r="L33" i="3" s="1"/>
  <c r="M33" i="3" s="1"/>
  <c r="H33" i="3"/>
  <c r="I32" i="3"/>
  <c r="L32" i="3" s="1"/>
  <c r="M32" i="3" s="1"/>
  <c r="I31" i="3"/>
  <c r="L31" i="3" s="1"/>
  <c r="M31" i="3" s="1"/>
  <c r="H31" i="3"/>
  <c r="I30" i="3"/>
  <c r="L30" i="3" s="1"/>
  <c r="M30" i="3" s="1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P24" i="3"/>
  <c r="O24" i="3"/>
  <c r="K19" i="3"/>
  <c r="C19" i="3"/>
  <c r="B19" i="3"/>
  <c r="A19" i="3"/>
  <c r="P18" i="3"/>
  <c r="T18" i="3" s="1"/>
  <c r="T17" i="3"/>
  <c r="D29" i="3" s="1"/>
  <c r="T16" i="3"/>
  <c r="L15" i="3"/>
  <c r="K15" i="3"/>
  <c r="A15" i="3"/>
  <c r="H14" i="3"/>
  <c r="G14" i="3"/>
  <c r="F14" i="3"/>
  <c r="L14" i="3" s="1"/>
  <c r="E14" i="3"/>
  <c r="K14" i="3" s="1"/>
  <c r="A14" i="3"/>
  <c r="L13" i="3"/>
  <c r="K13" i="3"/>
  <c r="A13" i="3"/>
  <c r="H12" i="3"/>
  <c r="G12" i="3"/>
  <c r="F12" i="3"/>
  <c r="L12" i="3" s="1"/>
  <c r="E12" i="3"/>
  <c r="K12" i="3" s="1"/>
  <c r="A12" i="3"/>
  <c r="L11" i="3"/>
  <c r="K11" i="3"/>
  <c r="A11" i="3"/>
  <c r="R10" i="3"/>
  <c r="R12" i="3" s="1"/>
  <c r="Q10" i="3"/>
  <c r="Q12" i="3" s="1"/>
  <c r="P10" i="3"/>
  <c r="P12" i="3" s="1"/>
  <c r="H10" i="3"/>
  <c r="G10" i="3"/>
  <c r="F10" i="3"/>
  <c r="L10" i="3" s="1"/>
  <c r="E10" i="3"/>
  <c r="K10" i="3" s="1"/>
  <c r="A10" i="3"/>
  <c r="L9" i="3"/>
  <c r="K9" i="3"/>
  <c r="A9" i="3"/>
  <c r="H8" i="3"/>
  <c r="G8" i="3"/>
  <c r="F8" i="3"/>
  <c r="L8" i="3" s="1"/>
  <c r="E8" i="3"/>
  <c r="K8" i="3" s="1"/>
  <c r="A8" i="3"/>
  <c r="L7" i="3"/>
  <c r="K7" i="3"/>
  <c r="A7" i="3"/>
  <c r="H6" i="3"/>
  <c r="G6" i="3"/>
  <c r="F6" i="3"/>
  <c r="L6" i="3" s="1"/>
  <c r="E6" i="3"/>
  <c r="K6" i="3" s="1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D3" i="3"/>
  <c r="D4" i="3" l="1"/>
  <c r="I3" i="3"/>
  <c r="C132" i="3"/>
  <c r="C133" i="3" s="1"/>
  <c r="F133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H36" i="3"/>
  <c r="L36" i="3"/>
  <c r="M36" i="3" s="1"/>
  <c r="H44" i="3"/>
  <c r="L44" i="3"/>
  <c r="M44" i="3" s="1"/>
  <c r="H46" i="3"/>
  <c r="L46" i="3"/>
  <c r="M46" i="3" s="1"/>
  <c r="H48" i="3"/>
  <c r="L48" i="3"/>
  <c r="M48" i="3" s="1"/>
  <c r="H52" i="3"/>
  <c r="L52" i="3"/>
  <c r="M52" i="3" s="1"/>
  <c r="H60" i="3"/>
  <c r="L60" i="3"/>
  <c r="M60" i="3" s="1"/>
  <c r="H62" i="3"/>
  <c r="L62" i="3"/>
  <c r="M62" i="3" s="1"/>
  <c r="H64" i="3"/>
  <c r="L64" i="3"/>
  <c r="M64" i="3" s="1"/>
  <c r="F106" i="5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P132" i="3"/>
  <c r="N134" i="3"/>
  <c r="O133" i="3"/>
  <c r="P133" i="3" s="1"/>
  <c r="E133" i="3" l="1"/>
  <c r="T133" i="3"/>
  <c r="U133" i="3" s="1"/>
  <c r="E132" i="3"/>
  <c r="T132" i="3"/>
  <c r="U132" i="3" s="1"/>
  <c r="E30" i="3"/>
  <c r="T30" i="3"/>
  <c r="U30" i="3" s="1"/>
  <c r="F120" i="5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N135" i="3"/>
  <c r="O134" i="3"/>
  <c r="O135" i="3" l="1"/>
  <c r="P135" i="3" s="1"/>
  <c r="E31" i="3"/>
  <c r="T31" i="3"/>
  <c r="U31" i="3" s="1"/>
  <c r="F121" i="5"/>
  <c r="D122" i="5"/>
  <c r="N112" i="5"/>
  <c r="O112" i="5" s="1"/>
  <c r="E112" i="5" s="1"/>
  <c r="P134" i="3"/>
  <c r="R132" i="3"/>
  <c r="S132" i="3" s="1"/>
  <c r="N33" i="3"/>
  <c r="O32" i="3"/>
  <c r="P32" i="3" s="1"/>
  <c r="F44" i="3"/>
  <c r="D45" i="3"/>
  <c r="E32" i="3" l="1"/>
  <c r="T32" i="3"/>
  <c r="U32" i="3" s="1"/>
  <c r="E134" i="3"/>
  <c r="T134" i="3"/>
  <c r="U134" i="3" s="1"/>
  <c r="E135" i="3"/>
  <c r="T135" i="3"/>
  <c r="U135" i="3" s="1"/>
  <c r="F122" i="5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N35" i="3"/>
  <c r="O34" i="3"/>
  <c r="P34" i="3" s="1"/>
  <c r="F46" i="3"/>
  <c r="D47" i="3"/>
  <c r="E34" i="3" l="1"/>
  <c r="T34" i="3"/>
  <c r="U34" i="3" s="1"/>
  <c r="E33" i="3"/>
  <c r="T33" i="3"/>
  <c r="U33" i="3" s="1"/>
  <c r="F124" i="5"/>
  <c r="D125" i="5"/>
  <c r="N115" i="5"/>
  <c r="O115" i="5" s="1"/>
  <c r="E115" i="5" s="1"/>
  <c r="D48" i="3"/>
  <c r="F47" i="3"/>
  <c r="N36" i="3"/>
  <c r="O35" i="3"/>
  <c r="P35" i="3" s="1"/>
  <c r="E35" i="3" l="1"/>
  <c r="T35" i="3"/>
  <c r="U35" i="3" s="1"/>
  <c r="F125" i="5"/>
  <c r="D126" i="5"/>
  <c r="N116" i="5"/>
  <c r="O116" i="5" s="1"/>
  <c r="E116" i="5" s="1"/>
  <c r="N37" i="3"/>
  <c r="O36" i="3"/>
  <c r="P36" i="3" s="1"/>
  <c r="F48" i="3"/>
  <c r="D49" i="3"/>
  <c r="E36" i="3" l="1"/>
  <c r="T36" i="3"/>
  <c r="U36" i="3" s="1"/>
  <c r="F126" i="5"/>
  <c r="D127" i="5"/>
  <c r="N117" i="5"/>
  <c r="O117" i="5" s="1"/>
  <c r="E117" i="5" s="1"/>
  <c r="D50" i="3"/>
  <c r="F49" i="3"/>
  <c r="O37" i="3"/>
  <c r="P37" i="3" s="1"/>
  <c r="N38" i="3"/>
  <c r="E37" i="3" l="1"/>
  <c r="T37" i="3"/>
  <c r="U37" i="3" s="1"/>
  <c r="F127" i="5"/>
  <c r="D128" i="5"/>
  <c r="N118" i="5"/>
  <c r="O118" i="5" s="1"/>
  <c r="E118" i="5" s="1"/>
  <c r="N39" i="3"/>
  <c r="O38" i="3"/>
  <c r="P38" i="3" s="1"/>
  <c r="F50" i="3"/>
  <c r="D51" i="3"/>
  <c r="E38" i="3" l="1"/>
  <c r="T38" i="3"/>
  <c r="U38" i="3" s="1"/>
  <c r="F128" i="5"/>
  <c r="D129" i="5"/>
  <c r="N119" i="5"/>
  <c r="O119" i="5" s="1"/>
  <c r="E119" i="5" s="1"/>
  <c r="D52" i="3"/>
  <c r="F51" i="3"/>
  <c r="N40" i="3"/>
  <c r="O39" i="3"/>
  <c r="P39" i="3" s="1"/>
  <c r="E39" i="3" l="1"/>
  <c r="T39" i="3"/>
  <c r="U39" i="3" s="1"/>
  <c r="F129" i="5"/>
  <c r="D130" i="5"/>
  <c r="N120" i="5"/>
  <c r="O120" i="5" s="1"/>
  <c r="E120" i="5" s="1"/>
  <c r="N41" i="3"/>
  <c r="O40" i="3"/>
  <c r="P40" i="3" s="1"/>
  <c r="F52" i="3"/>
  <c r="D53" i="3"/>
  <c r="E40" i="3" l="1"/>
  <c r="T40" i="3"/>
  <c r="U40" i="3" s="1"/>
  <c r="F130" i="5"/>
  <c r="D131" i="5"/>
  <c r="F131" i="5" s="1"/>
  <c r="N121" i="5"/>
  <c r="O121" i="5" s="1"/>
  <c r="E121" i="5" s="1"/>
  <c r="D54" i="3"/>
  <c r="F53" i="3"/>
  <c r="N42" i="3"/>
  <c r="O41" i="3"/>
  <c r="P41" i="3" s="1"/>
  <c r="E41" i="3" l="1"/>
  <c r="T41" i="3"/>
  <c r="U41" i="3" s="1"/>
  <c r="N122" i="5"/>
  <c r="O122" i="5" s="1"/>
  <c r="E122" i="5" s="1"/>
  <c r="N43" i="3"/>
  <c r="O42" i="3"/>
  <c r="P42" i="3" s="1"/>
  <c r="F54" i="3"/>
  <c r="D55" i="3"/>
  <c r="E42" i="3" l="1"/>
  <c r="T42" i="3"/>
  <c r="U42" i="3" s="1"/>
  <c r="N123" i="5"/>
  <c r="O123" i="5" s="1"/>
  <c r="E123" i="5" s="1"/>
  <c r="D56" i="3"/>
  <c r="F55" i="3"/>
  <c r="O43" i="3"/>
  <c r="P43" i="3" s="1"/>
  <c r="N44" i="3"/>
  <c r="E43" i="3" l="1"/>
  <c r="T43" i="3"/>
  <c r="U43" i="3" s="1"/>
  <c r="N124" i="5"/>
  <c r="O124" i="5" s="1"/>
  <c r="E124" i="5" s="1"/>
  <c r="N45" i="3"/>
  <c r="O44" i="3"/>
  <c r="P44" i="3" s="1"/>
  <c r="F56" i="3"/>
  <c r="D57" i="3"/>
  <c r="E44" i="3" l="1"/>
  <c r="T44" i="3"/>
  <c r="U44" i="3" s="1"/>
  <c r="N125" i="5"/>
  <c r="O125" i="5" s="1"/>
  <c r="E125" i="5" s="1"/>
  <c r="D58" i="3"/>
  <c r="F57" i="3"/>
  <c r="N46" i="3"/>
  <c r="O45" i="3"/>
  <c r="P45" i="3" s="1"/>
  <c r="E45" i="3" l="1"/>
  <c r="T45" i="3"/>
  <c r="U45" i="3" s="1"/>
  <c r="N126" i="5"/>
  <c r="O126" i="5" s="1"/>
  <c r="E126" i="5" s="1"/>
  <c r="N47" i="3"/>
  <c r="O46" i="3"/>
  <c r="P46" i="3" s="1"/>
  <c r="F58" i="3"/>
  <c r="D59" i="3"/>
  <c r="E46" i="3" l="1"/>
  <c r="T46" i="3"/>
  <c r="U46" i="3" s="1"/>
  <c r="N127" i="5"/>
  <c r="O127" i="5" s="1"/>
  <c r="E127" i="5" s="1"/>
  <c r="D60" i="3"/>
  <c r="F59" i="3"/>
  <c r="N48" i="3"/>
  <c r="O47" i="3"/>
  <c r="P47" i="3" s="1"/>
  <c r="E47" i="3" l="1"/>
  <c r="T47" i="3"/>
  <c r="U47" i="3" s="1"/>
  <c r="N128" i="5"/>
  <c r="O128" i="5" s="1"/>
  <c r="E128" i="5" s="1"/>
  <c r="N49" i="3"/>
  <c r="O48" i="3"/>
  <c r="P48" i="3" s="1"/>
  <c r="F60" i="3"/>
  <c r="D61" i="3"/>
  <c r="E48" i="3" l="1"/>
  <c r="T48" i="3"/>
  <c r="U48" i="3" s="1"/>
  <c r="N129" i="5"/>
  <c r="O129" i="5" s="1"/>
  <c r="E129" i="5" s="1"/>
  <c r="D62" i="3"/>
  <c r="F61" i="3"/>
  <c r="N50" i="3"/>
  <c r="O49" i="3"/>
  <c r="P49" i="3" s="1"/>
  <c r="E49" i="3" l="1"/>
  <c r="T49" i="3"/>
  <c r="U49" i="3" s="1"/>
  <c r="N130" i="5"/>
  <c r="O130" i="5" s="1"/>
  <c r="E130" i="5" s="1"/>
  <c r="N51" i="3"/>
  <c r="O50" i="3"/>
  <c r="P50" i="3" s="1"/>
  <c r="F62" i="3"/>
  <c r="D63" i="3"/>
  <c r="E50" i="3" l="1"/>
  <c r="T50" i="3"/>
  <c r="U50" i="3" s="1"/>
  <c r="N131" i="5"/>
  <c r="Q29" i="5" s="1"/>
  <c r="D64" i="3"/>
  <c r="F63" i="3"/>
  <c r="N52" i="3"/>
  <c r="O51" i="3"/>
  <c r="P51" i="3" s="1"/>
  <c r="E51" i="3" l="1"/>
  <c r="T51" i="3"/>
  <c r="U51" i="3" s="1"/>
  <c r="O131" i="5"/>
  <c r="E131" i="5" s="1"/>
  <c r="R29" i="5"/>
  <c r="N53" i="3"/>
  <c r="O52" i="3"/>
  <c r="P52" i="3" s="1"/>
  <c r="D65" i="3"/>
  <c r="F64" i="3"/>
  <c r="E52" i="3" l="1"/>
  <c r="T52" i="3"/>
  <c r="U52" i="3" s="1"/>
  <c r="D66" i="3"/>
  <c r="F65" i="3"/>
  <c r="O53" i="3"/>
  <c r="P53" i="3" s="1"/>
  <c r="N54" i="3"/>
  <c r="E53" i="3" l="1"/>
  <c r="T53" i="3"/>
  <c r="U53" i="3" s="1"/>
  <c r="N55" i="3"/>
  <c r="O54" i="3"/>
  <c r="P54" i="3" s="1"/>
  <c r="D67" i="3"/>
  <c r="F66" i="3"/>
  <c r="E54" i="3" l="1"/>
  <c r="T54" i="3"/>
  <c r="U54" i="3" s="1"/>
  <c r="D68" i="3"/>
  <c r="F67" i="3"/>
  <c r="N56" i="3"/>
  <c r="O55" i="3"/>
  <c r="P55" i="3" s="1"/>
  <c r="E55" i="3" l="1"/>
  <c r="T55" i="3"/>
  <c r="U55" i="3" s="1"/>
  <c r="N57" i="3"/>
  <c r="O56" i="3"/>
  <c r="P56" i="3" s="1"/>
  <c r="D69" i="3"/>
  <c r="F68" i="3"/>
  <c r="E56" i="3" l="1"/>
  <c r="T56" i="3"/>
  <c r="U56" i="3" s="1"/>
  <c r="D70" i="3"/>
  <c r="F69" i="3"/>
  <c r="N58" i="3"/>
  <c r="O57" i="3"/>
  <c r="P57" i="3" s="1"/>
  <c r="E57" i="3" l="1"/>
  <c r="T57" i="3"/>
  <c r="U57" i="3" s="1"/>
  <c r="N59" i="3"/>
  <c r="O58" i="3"/>
  <c r="P58" i="3" s="1"/>
  <c r="D71" i="3"/>
  <c r="F70" i="3"/>
  <c r="E58" i="3" l="1"/>
  <c r="T58" i="3"/>
  <c r="U58" i="3" s="1"/>
  <c r="D72" i="3"/>
  <c r="F71" i="3"/>
  <c r="O59" i="3"/>
  <c r="P59" i="3" s="1"/>
  <c r="N60" i="3"/>
  <c r="E59" i="3" l="1"/>
  <c r="T59" i="3"/>
  <c r="U59" i="3" s="1"/>
  <c r="N61" i="3"/>
  <c r="O60" i="3"/>
  <c r="P60" i="3" s="1"/>
  <c r="D73" i="3"/>
  <c r="F72" i="3"/>
  <c r="E60" i="3" l="1"/>
  <c r="T60" i="3"/>
  <c r="U60" i="3" s="1"/>
  <c r="D74" i="3"/>
  <c r="F73" i="3"/>
  <c r="N62" i="3"/>
  <c r="O61" i="3"/>
  <c r="P61" i="3" s="1"/>
  <c r="E61" i="3" l="1"/>
  <c r="T61" i="3"/>
  <c r="U61" i="3" s="1"/>
  <c r="N63" i="3"/>
  <c r="O62" i="3"/>
  <c r="P62" i="3" s="1"/>
  <c r="D75" i="3"/>
  <c r="F74" i="3"/>
  <c r="E62" i="3" l="1"/>
  <c r="T62" i="3"/>
  <c r="U62" i="3" s="1"/>
  <c r="D76" i="3"/>
  <c r="F75" i="3"/>
  <c r="N64" i="3"/>
  <c r="O63" i="3"/>
  <c r="P63" i="3" s="1"/>
  <c r="E63" i="3" l="1"/>
  <c r="T63" i="3"/>
  <c r="U63" i="3" s="1"/>
  <c r="N65" i="3"/>
  <c r="O64" i="3"/>
  <c r="P64" i="3" s="1"/>
  <c r="D77" i="3"/>
  <c r="F76" i="3"/>
  <c r="E64" i="3" l="1"/>
  <c r="T64" i="3"/>
  <c r="U64" i="3" s="1"/>
  <c r="D78" i="3"/>
  <c r="F77" i="3"/>
  <c r="N66" i="3"/>
  <c r="O65" i="3"/>
  <c r="P65" i="3" s="1"/>
  <c r="E65" i="3" l="1"/>
  <c r="T65" i="3"/>
  <c r="U65" i="3" s="1"/>
  <c r="N67" i="3"/>
  <c r="O66" i="3"/>
  <c r="P66" i="3" s="1"/>
  <c r="D79" i="3"/>
  <c r="F78" i="3"/>
  <c r="E66" i="3" l="1"/>
  <c r="T66" i="3"/>
  <c r="U66" i="3" s="1"/>
  <c r="D80" i="3"/>
  <c r="F79" i="3"/>
  <c r="N68" i="3"/>
  <c r="O67" i="3"/>
  <c r="P67" i="3" s="1"/>
  <c r="E67" i="3" l="1"/>
  <c r="T67" i="3"/>
  <c r="U67" i="3" s="1"/>
  <c r="N69" i="3"/>
  <c r="O68" i="3"/>
  <c r="P68" i="3" s="1"/>
  <c r="D81" i="3"/>
  <c r="F80" i="3"/>
  <c r="E68" i="3" l="1"/>
  <c r="T68" i="3"/>
  <c r="U68" i="3" s="1"/>
  <c r="N70" i="3"/>
  <c r="O69" i="3"/>
  <c r="P69" i="3" s="1"/>
  <c r="D82" i="3"/>
  <c r="F81" i="3"/>
  <c r="E69" i="3" l="1"/>
  <c r="T69" i="3"/>
  <c r="U69" i="3" s="1"/>
  <c r="N71" i="3"/>
  <c r="O70" i="3"/>
  <c r="P70" i="3" s="1"/>
  <c r="D83" i="3"/>
  <c r="F82" i="3"/>
  <c r="E70" i="3" l="1"/>
  <c r="T70" i="3"/>
  <c r="U70" i="3" s="1"/>
  <c r="D84" i="3"/>
  <c r="F83" i="3"/>
  <c r="N72" i="3"/>
  <c r="O71" i="3"/>
  <c r="P71" i="3" s="1"/>
  <c r="E71" i="3" l="1"/>
  <c r="T71" i="3"/>
  <c r="U71" i="3" s="1"/>
  <c r="N73" i="3"/>
  <c r="O72" i="3"/>
  <c r="P72" i="3" s="1"/>
  <c r="D85" i="3"/>
  <c r="F84" i="3"/>
  <c r="E72" i="3" l="1"/>
  <c r="T72" i="3"/>
  <c r="U72" i="3" s="1"/>
  <c r="D86" i="3"/>
  <c r="F85" i="3"/>
  <c r="N74" i="3"/>
  <c r="O73" i="3"/>
  <c r="P73" i="3" s="1"/>
  <c r="E73" i="3" l="1"/>
  <c r="T73" i="3"/>
  <c r="U73" i="3" s="1"/>
  <c r="N75" i="3"/>
  <c r="O74" i="3"/>
  <c r="P74" i="3" s="1"/>
  <c r="D87" i="3"/>
  <c r="F86" i="3"/>
  <c r="E74" i="3" l="1"/>
  <c r="T74" i="3"/>
  <c r="U74" i="3" s="1"/>
  <c r="D88" i="3"/>
  <c r="F87" i="3"/>
  <c r="N76" i="3"/>
  <c r="O75" i="3"/>
  <c r="P75" i="3" s="1"/>
  <c r="E75" i="3" l="1"/>
  <c r="T75" i="3"/>
  <c r="U75" i="3" s="1"/>
  <c r="N77" i="3"/>
  <c r="O76" i="3"/>
  <c r="P76" i="3" s="1"/>
  <c r="D89" i="3"/>
  <c r="F88" i="3"/>
  <c r="E76" i="3" l="1"/>
  <c r="T76" i="3"/>
  <c r="U76" i="3" s="1"/>
  <c r="D90" i="3"/>
  <c r="F89" i="3"/>
  <c r="N78" i="3"/>
  <c r="O77" i="3"/>
  <c r="P77" i="3" s="1"/>
  <c r="E77" i="3" l="1"/>
  <c r="T77" i="3"/>
  <c r="U77" i="3" s="1"/>
  <c r="N79" i="3"/>
  <c r="O78" i="3"/>
  <c r="P78" i="3" s="1"/>
  <c r="D91" i="3"/>
  <c r="F90" i="3"/>
  <c r="E78" i="3" l="1"/>
  <c r="T78" i="3"/>
  <c r="U78" i="3" s="1"/>
  <c r="D92" i="3"/>
  <c r="F91" i="3"/>
  <c r="N80" i="3"/>
  <c r="O79" i="3"/>
  <c r="P79" i="3" s="1"/>
  <c r="E79" i="3" l="1"/>
  <c r="T79" i="3"/>
  <c r="U79" i="3" s="1"/>
  <c r="N81" i="3"/>
  <c r="O80" i="3"/>
  <c r="P80" i="3" s="1"/>
  <c r="D93" i="3"/>
  <c r="F92" i="3"/>
  <c r="E80" i="3" l="1"/>
  <c r="T80" i="3"/>
  <c r="U80" i="3" s="1"/>
  <c r="D94" i="3"/>
  <c r="F93" i="3"/>
  <c r="N82" i="3"/>
  <c r="O81" i="3"/>
  <c r="P81" i="3" s="1"/>
  <c r="E81" i="3" l="1"/>
  <c r="T81" i="3"/>
  <c r="U81" i="3" s="1"/>
  <c r="N83" i="3"/>
  <c r="O82" i="3"/>
  <c r="P82" i="3" s="1"/>
  <c r="D95" i="3"/>
  <c r="F94" i="3"/>
  <c r="E82" i="3" l="1"/>
  <c r="T82" i="3"/>
  <c r="U82" i="3" s="1"/>
  <c r="D96" i="3"/>
  <c r="F95" i="3"/>
  <c r="N84" i="3"/>
  <c r="O83" i="3"/>
  <c r="P83" i="3" s="1"/>
  <c r="E83" i="3" l="1"/>
  <c r="T83" i="3"/>
  <c r="U83" i="3" s="1"/>
  <c r="N85" i="3"/>
  <c r="O84" i="3"/>
  <c r="P84" i="3" s="1"/>
  <c r="D97" i="3"/>
  <c r="F96" i="3"/>
  <c r="E84" i="3" l="1"/>
  <c r="T84" i="3"/>
  <c r="U84" i="3" s="1"/>
  <c r="D98" i="3"/>
  <c r="F97" i="3"/>
  <c r="N86" i="3"/>
  <c r="O85" i="3"/>
  <c r="P85" i="3" s="1"/>
  <c r="E85" i="3" l="1"/>
  <c r="T85" i="3"/>
  <c r="U85" i="3" s="1"/>
  <c r="N87" i="3"/>
  <c r="O86" i="3"/>
  <c r="P86" i="3" s="1"/>
  <c r="D99" i="3"/>
  <c r="F98" i="3"/>
  <c r="E86" i="3" l="1"/>
  <c r="T86" i="3"/>
  <c r="U86" i="3" s="1"/>
  <c r="D100" i="3"/>
  <c r="F99" i="3"/>
  <c r="N88" i="3"/>
  <c r="O87" i="3"/>
  <c r="P87" i="3" s="1"/>
  <c r="E87" i="3" l="1"/>
  <c r="T87" i="3"/>
  <c r="U87" i="3" s="1"/>
  <c r="N89" i="3"/>
  <c r="O88" i="3"/>
  <c r="P88" i="3" s="1"/>
  <c r="D101" i="3"/>
  <c r="F100" i="3"/>
  <c r="E88" i="3" l="1"/>
  <c r="T88" i="3"/>
  <c r="U88" i="3" s="1"/>
  <c r="D102" i="3"/>
  <c r="F101" i="3"/>
  <c r="N90" i="3"/>
  <c r="O89" i="3"/>
  <c r="P89" i="3" s="1"/>
  <c r="E89" i="3" l="1"/>
  <c r="T89" i="3"/>
  <c r="U89" i="3" s="1"/>
  <c r="N91" i="3"/>
  <c r="O90" i="3"/>
  <c r="P90" i="3" s="1"/>
  <c r="D103" i="3"/>
  <c r="F102" i="3"/>
  <c r="E90" i="3" l="1"/>
  <c r="T90" i="3"/>
  <c r="U90" i="3" s="1"/>
  <c r="D104" i="3"/>
  <c r="F103" i="3"/>
  <c r="N92" i="3"/>
  <c r="O91" i="3"/>
  <c r="P91" i="3" s="1"/>
  <c r="E91" i="3" l="1"/>
  <c r="T91" i="3"/>
  <c r="U91" i="3" s="1"/>
  <c r="N93" i="3"/>
  <c r="O92" i="3"/>
  <c r="P92" i="3" s="1"/>
  <c r="D105" i="3"/>
  <c r="F104" i="3"/>
  <c r="E92" i="3" l="1"/>
  <c r="T92" i="3"/>
  <c r="U92" i="3" s="1"/>
  <c r="D106" i="3"/>
  <c r="F105" i="3"/>
  <c r="N94" i="3"/>
  <c r="O93" i="3"/>
  <c r="P93" i="3" s="1"/>
  <c r="E93" i="3" l="1"/>
  <c r="T93" i="3"/>
  <c r="U93" i="3" s="1"/>
  <c r="N95" i="3"/>
  <c r="O94" i="3"/>
  <c r="P94" i="3" s="1"/>
  <c r="D107" i="3"/>
  <c r="F106" i="3"/>
  <c r="E94" i="3" l="1"/>
  <c r="T94" i="3"/>
  <c r="U94" i="3" s="1"/>
  <c r="D108" i="3"/>
  <c r="F107" i="3"/>
  <c r="N96" i="3"/>
  <c r="O95" i="3"/>
  <c r="P95" i="3" s="1"/>
  <c r="E95" i="3" l="1"/>
  <c r="T95" i="3"/>
  <c r="U95" i="3" s="1"/>
  <c r="N97" i="3"/>
  <c r="O96" i="3"/>
  <c r="P96" i="3" s="1"/>
  <c r="D109" i="3"/>
  <c r="F108" i="3"/>
  <c r="E96" i="3" l="1"/>
  <c r="T96" i="3"/>
  <c r="U96" i="3" s="1"/>
  <c r="D110" i="3"/>
  <c r="F109" i="3"/>
  <c r="N98" i="3"/>
  <c r="O97" i="3"/>
  <c r="P97" i="3" s="1"/>
  <c r="E97" i="3" l="1"/>
  <c r="T97" i="3"/>
  <c r="U97" i="3" s="1"/>
  <c r="N99" i="3"/>
  <c r="O98" i="3"/>
  <c r="P98" i="3" s="1"/>
  <c r="D111" i="3"/>
  <c r="F110" i="3"/>
  <c r="E98" i="3" l="1"/>
  <c r="T98" i="3"/>
  <c r="U98" i="3" s="1"/>
  <c r="D112" i="3"/>
  <c r="F111" i="3"/>
  <c r="N100" i="3"/>
  <c r="O99" i="3"/>
  <c r="P99" i="3" s="1"/>
  <c r="E99" i="3" l="1"/>
  <c r="T99" i="3"/>
  <c r="U99" i="3" s="1"/>
  <c r="N101" i="3"/>
  <c r="O100" i="3"/>
  <c r="P100" i="3" s="1"/>
  <c r="D113" i="3"/>
  <c r="F112" i="3"/>
  <c r="E100" i="3" l="1"/>
  <c r="T100" i="3"/>
  <c r="U100" i="3" s="1"/>
  <c r="D114" i="3"/>
  <c r="F113" i="3"/>
  <c r="N102" i="3"/>
  <c r="O101" i="3"/>
  <c r="P101" i="3" s="1"/>
  <c r="E101" i="3" l="1"/>
  <c r="T101" i="3"/>
  <c r="U101" i="3" s="1"/>
  <c r="N103" i="3"/>
  <c r="O102" i="3"/>
  <c r="P102" i="3" s="1"/>
  <c r="D115" i="3"/>
  <c r="F114" i="3"/>
  <c r="E102" i="3" l="1"/>
  <c r="T102" i="3"/>
  <c r="U102" i="3" s="1"/>
  <c r="D116" i="3"/>
  <c r="F115" i="3"/>
  <c r="N104" i="3"/>
  <c r="O103" i="3"/>
  <c r="P103" i="3" s="1"/>
  <c r="E103" i="3" l="1"/>
  <c r="T103" i="3"/>
  <c r="U103" i="3" s="1"/>
  <c r="N105" i="3"/>
  <c r="O104" i="3"/>
  <c r="P104" i="3" s="1"/>
  <c r="D117" i="3"/>
  <c r="F116" i="3"/>
  <c r="E104" i="3" l="1"/>
  <c r="T104" i="3"/>
  <c r="U104" i="3" s="1"/>
  <c r="D118" i="3"/>
  <c r="F117" i="3"/>
  <c r="N106" i="3"/>
  <c r="O105" i="3"/>
  <c r="P105" i="3" s="1"/>
  <c r="E105" i="3" l="1"/>
  <c r="T105" i="3"/>
  <c r="U105" i="3" s="1"/>
  <c r="N107" i="3"/>
  <c r="O106" i="3"/>
  <c r="P106" i="3" s="1"/>
  <c r="D119" i="3"/>
  <c r="F118" i="3"/>
  <c r="E106" i="3" l="1"/>
  <c r="T106" i="3"/>
  <c r="U106" i="3" s="1"/>
  <c r="D120" i="3"/>
  <c r="F119" i="3"/>
  <c r="N108" i="3"/>
  <c r="O107" i="3"/>
  <c r="P107" i="3" s="1"/>
  <c r="E107" i="3" l="1"/>
  <c r="T107" i="3"/>
  <c r="U107" i="3" s="1"/>
  <c r="N109" i="3"/>
  <c r="O108" i="3"/>
  <c r="P108" i="3" s="1"/>
  <c r="D121" i="3"/>
  <c r="F120" i="3"/>
  <c r="E108" i="3" l="1"/>
  <c r="T108" i="3"/>
  <c r="U108" i="3" s="1"/>
  <c r="D122" i="3"/>
  <c r="F121" i="3"/>
  <c r="N110" i="3"/>
  <c r="O109" i="3"/>
  <c r="P109" i="3" s="1"/>
  <c r="E109" i="3" l="1"/>
  <c r="T109" i="3"/>
  <c r="U109" i="3" s="1"/>
  <c r="N111" i="3"/>
  <c r="O110" i="3"/>
  <c r="P110" i="3" s="1"/>
  <c r="D123" i="3"/>
  <c r="F122" i="3"/>
  <c r="E110" i="3" l="1"/>
  <c r="T110" i="3"/>
  <c r="U110" i="3" s="1"/>
  <c r="D124" i="3"/>
  <c r="F123" i="3"/>
  <c r="N112" i="3"/>
  <c r="O111" i="3"/>
  <c r="P111" i="3" s="1"/>
  <c r="E111" i="3" l="1"/>
  <c r="T111" i="3"/>
  <c r="U111" i="3" s="1"/>
  <c r="N113" i="3"/>
  <c r="O112" i="3"/>
  <c r="P112" i="3" s="1"/>
  <c r="D125" i="3"/>
  <c r="F124" i="3"/>
  <c r="E112" i="3" l="1"/>
  <c r="T112" i="3"/>
  <c r="U112" i="3" s="1"/>
  <c r="D126" i="3"/>
  <c r="F125" i="3"/>
  <c r="N114" i="3"/>
  <c r="O113" i="3"/>
  <c r="P113" i="3" s="1"/>
  <c r="E113" i="3" l="1"/>
  <c r="T113" i="3"/>
  <c r="U113" i="3" s="1"/>
  <c r="N115" i="3"/>
  <c r="O114" i="3"/>
  <c r="P114" i="3" s="1"/>
  <c r="D127" i="3"/>
  <c r="F126" i="3"/>
  <c r="E114" i="3" l="1"/>
  <c r="T114" i="3"/>
  <c r="U114" i="3" s="1"/>
  <c r="D128" i="3"/>
  <c r="F128" i="3" s="1"/>
  <c r="F127" i="3"/>
  <c r="N116" i="3"/>
  <c r="O115" i="3"/>
  <c r="P115" i="3" s="1"/>
  <c r="E115" i="3" l="1"/>
  <c r="T115" i="3"/>
  <c r="U115" i="3" s="1"/>
  <c r="N117" i="3"/>
  <c r="O116" i="3"/>
  <c r="P116" i="3" s="1"/>
  <c r="E116" i="3" l="1"/>
  <c r="T116" i="3"/>
  <c r="U116" i="3" s="1"/>
  <c r="N118" i="3"/>
  <c r="O117" i="3"/>
  <c r="P117" i="3" s="1"/>
  <c r="E117" i="3" l="1"/>
  <c r="T117" i="3"/>
  <c r="U117" i="3" s="1"/>
  <c r="N119" i="3"/>
  <c r="O118" i="3"/>
  <c r="P118" i="3" s="1"/>
  <c r="E118" i="3" l="1"/>
  <c r="T118" i="3"/>
  <c r="U118" i="3" s="1"/>
  <c r="N120" i="3"/>
  <c r="O119" i="3"/>
  <c r="P119" i="3" s="1"/>
  <c r="E119" i="3" l="1"/>
  <c r="T119" i="3"/>
  <c r="U119" i="3" s="1"/>
  <c r="N121" i="3"/>
  <c r="O120" i="3"/>
  <c r="P120" i="3" s="1"/>
  <c r="E120" i="3" l="1"/>
  <c r="T120" i="3"/>
  <c r="U120" i="3" s="1"/>
  <c r="N122" i="3"/>
  <c r="O121" i="3"/>
  <c r="P121" i="3" s="1"/>
  <c r="E121" i="3" l="1"/>
  <c r="T121" i="3"/>
  <c r="U121" i="3" s="1"/>
  <c r="N123" i="3"/>
  <c r="O122" i="3"/>
  <c r="P122" i="3" s="1"/>
  <c r="E122" i="3" l="1"/>
  <c r="T122" i="3"/>
  <c r="U122" i="3" s="1"/>
  <c r="N124" i="3"/>
  <c r="O123" i="3"/>
  <c r="P123" i="3" s="1"/>
  <c r="E123" i="3" l="1"/>
  <c r="T123" i="3"/>
  <c r="U123" i="3" s="1"/>
  <c r="N125" i="3"/>
  <c r="O124" i="3"/>
  <c r="P124" i="3" s="1"/>
  <c r="E124" i="3" l="1"/>
  <c r="T124" i="3"/>
  <c r="U124" i="3" s="1"/>
  <c r="N126" i="3"/>
  <c r="O125" i="3"/>
  <c r="P125" i="3" s="1"/>
  <c r="E125" i="3" l="1"/>
  <c r="T125" i="3"/>
  <c r="U125" i="3" s="1"/>
  <c r="N127" i="3"/>
  <c r="O126" i="3"/>
  <c r="P126" i="3" s="1"/>
  <c r="E126" i="3" l="1"/>
  <c r="T126" i="3"/>
  <c r="U126" i="3" s="1"/>
  <c r="N128" i="3"/>
  <c r="O127" i="3"/>
  <c r="P127" i="3" s="1"/>
  <c r="E127" i="3" l="1"/>
  <c r="T127" i="3"/>
  <c r="U127" i="3" s="1"/>
  <c r="O128" i="3"/>
  <c r="P128" i="3"/>
  <c r="R29" i="3"/>
  <c r="S29" i="3" s="1"/>
  <c r="E128" i="3" l="1"/>
  <c r="T128" i="3"/>
  <c r="U128" i="3" s="1"/>
  <c r="L165" i="2"/>
  <c r="M165" i="2" s="1"/>
  <c r="H165" i="2"/>
  <c r="L164" i="2"/>
  <c r="M164" i="2" s="1"/>
  <c r="H164" i="2"/>
  <c r="L163" i="2"/>
  <c r="M163" i="2" s="1"/>
  <c r="H163" i="2"/>
  <c r="A163" i="2"/>
  <c r="A164" i="2" s="1"/>
  <c r="A165" i="2" s="1"/>
  <c r="L162" i="2"/>
  <c r="M162" i="2" s="1"/>
  <c r="H162" i="2"/>
  <c r="L158" i="2"/>
  <c r="M158" i="2" s="1"/>
  <c r="H158" i="2"/>
  <c r="L157" i="2"/>
  <c r="M157" i="2" s="1"/>
  <c r="H157" i="2"/>
  <c r="L156" i="2"/>
  <c r="M156" i="2" s="1"/>
  <c r="H156" i="2"/>
  <c r="L155" i="2"/>
  <c r="M155" i="2" s="1"/>
  <c r="H155" i="2"/>
  <c r="L154" i="2"/>
  <c r="M154" i="2" s="1"/>
  <c r="H154" i="2"/>
  <c r="L153" i="2"/>
  <c r="M153" i="2" s="1"/>
  <c r="H153" i="2"/>
  <c r="L152" i="2"/>
  <c r="M152" i="2" s="1"/>
  <c r="H152" i="2"/>
  <c r="L151" i="2"/>
  <c r="M151" i="2" s="1"/>
  <c r="H151" i="2"/>
  <c r="L150" i="2"/>
  <c r="M150" i="2" s="1"/>
  <c r="H150" i="2"/>
  <c r="L149" i="2"/>
  <c r="M149" i="2" s="1"/>
  <c r="H149" i="2"/>
  <c r="L148" i="2"/>
  <c r="M148" i="2" s="1"/>
  <c r="H148" i="2"/>
  <c r="L147" i="2"/>
  <c r="M147" i="2" s="1"/>
  <c r="H147" i="2"/>
  <c r="L146" i="2"/>
  <c r="M146" i="2" s="1"/>
  <c r="H146" i="2"/>
  <c r="L145" i="2"/>
  <c r="M145" i="2" s="1"/>
  <c r="H145" i="2"/>
  <c r="L144" i="2"/>
  <c r="M144" i="2" s="1"/>
  <c r="H144" i="2"/>
  <c r="L143" i="2"/>
  <c r="M143" i="2" s="1"/>
  <c r="H143" i="2"/>
  <c r="L142" i="2"/>
  <c r="M142" i="2" s="1"/>
  <c r="H142" i="2"/>
  <c r="L141" i="2"/>
  <c r="M141" i="2" s="1"/>
  <c r="H141" i="2"/>
  <c r="L140" i="2"/>
  <c r="M140" i="2" s="1"/>
  <c r="H140" i="2"/>
  <c r="L139" i="2"/>
  <c r="M139" i="2" s="1"/>
  <c r="H139" i="2"/>
  <c r="L138" i="2"/>
  <c r="M138" i="2" s="1"/>
  <c r="H138" i="2"/>
  <c r="L137" i="2"/>
  <c r="M137" i="2" s="1"/>
  <c r="H137" i="2"/>
  <c r="L136" i="2"/>
  <c r="M136" i="2" s="1"/>
  <c r="H136" i="2"/>
  <c r="L135" i="2"/>
  <c r="M135" i="2" s="1"/>
  <c r="H135" i="2"/>
  <c r="L134" i="2"/>
  <c r="M134" i="2" s="1"/>
  <c r="H134" i="2"/>
  <c r="L133" i="2"/>
  <c r="M133" i="2" s="1"/>
  <c r="H133" i="2"/>
  <c r="L132" i="2"/>
  <c r="M132" i="2" s="1"/>
  <c r="H132" i="2"/>
  <c r="L131" i="2"/>
  <c r="M131" i="2" s="1"/>
  <c r="H131" i="2"/>
  <c r="L130" i="2"/>
  <c r="M130" i="2" s="1"/>
  <c r="H130" i="2"/>
  <c r="L129" i="2"/>
  <c r="M129" i="2" s="1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L124" i="2"/>
  <c r="M124" i="2" s="1"/>
  <c r="H124" i="2"/>
  <c r="L123" i="2"/>
  <c r="M123" i="2" s="1"/>
  <c r="H123" i="2"/>
  <c r="L122" i="2"/>
  <c r="M122" i="2" s="1"/>
  <c r="H122" i="2"/>
  <c r="L121" i="2"/>
  <c r="M121" i="2" s="1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L116" i="2"/>
  <c r="M116" i="2" s="1"/>
  <c r="H116" i="2"/>
  <c r="L115" i="2"/>
  <c r="M115" i="2" s="1"/>
  <c r="H115" i="2"/>
  <c r="L114" i="2"/>
  <c r="M114" i="2" s="1"/>
  <c r="H114" i="2"/>
  <c r="L113" i="2"/>
  <c r="M113" i="2" s="1"/>
  <c r="H113" i="2"/>
  <c r="L112" i="2"/>
  <c r="M112" i="2" s="1"/>
  <c r="H112" i="2"/>
  <c r="L111" i="2"/>
  <c r="M111" i="2" s="1"/>
  <c r="H111" i="2"/>
  <c r="L110" i="2"/>
  <c r="M110" i="2" s="1"/>
  <c r="H110" i="2"/>
  <c r="L109" i="2"/>
  <c r="M109" i="2" s="1"/>
  <c r="H109" i="2"/>
  <c r="L108" i="2"/>
  <c r="M108" i="2" s="1"/>
  <c r="H108" i="2"/>
  <c r="L107" i="2"/>
  <c r="M107" i="2" s="1"/>
  <c r="H107" i="2"/>
  <c r="L106" i="2"/>
  <c r="M106" i="2" s="1"/>
  <c r="H106" i="2"/>
  <c r="L105" i="2"/>
  <c r="M105" i="2" s="1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L100" i="2"/>
  <c r="M100" i="2" s="1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L95" i="2"/>
  <c r="M95" i="2" s="1"/>
  <c r="H95" i="2"/>
  <c r="L94" i="2"/>
  <c r="M94" i="2" s="1"/>
  <c r="H94" i="2"/>
  <c r="L93" i="2"/>
  <c r="M93" i="2" s="1"/>
  <c r="H93" i="2"/>
  <c r="A93" i="2"/>
  <c r="A94" i="2" s="1"/>
  <c r="A95" i="2" s="1"/>
  <c r="L92" i="2"/>
  <c r="M92" i="2" s="1"/>
  <c r="H92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J82" i="2"/>
  <c r="J83" i="2" s="1"/>
  <c r="J84" i="2" s="1"/>
  <c r="J85" i="2" s="1"/>
  <c r="J86" i="2" s="1"/>
  <c r="J87" i="2" s="1"/>
  <c r="J88" i="2" s="1"/>
  <c r="H82" i="2"/>
  <c r="L81" i="2"/>
  <c r="M81" i="2" s="1"/>
  <c r="H81" i="2"/>
  <c r="L80" i="2"/>
  <c r="M80" i="2" s="1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J71" i="2"/>
  <c r="J72" i="2" s="1"/>
  <c r="J73" i="2" s="1"/>
  <c r="J74" i="2" s="1"/>
  <c r="J75" i="2" s="1"/>
  <c r="J76" i="2" s="1"/>
  <c r="J77" i="2" s="1"/>
  <c r="J78" i="2" s="1"/>
  <c r="J79" i="2" s="1"/>
  <c r="H71" i="2"/>
  <c r="L70" i="2"/>
  <c r="M70" i="2" s="1"/>
  <c r="H70" i="2"/>
  <c r="L69" i="2"/>
  <c r="M69" i="2" s="1"/>
  <c r="H69" i="2"/>
  <c r="L68" i="2"/>
  <c r="M68" i="2" s="1"/>
  <c r="H68" i="2"/>
  <c r="L67" i="2"/>
  <c r="M67" i="2" s="1"/>
  <c r="H67" i="2"/>
  <c r="L66" i="2"/>
  <c r="M66" i="2" s="1"/>
  <c r="H66" i="2"/>
  <c r="L65" i="2"/>
  <c r="M65" i="2" s="1"/>
  <c r="H65" i="2"/>
  <c r="L64" i="2"/>
  <c r="M64" i="2" s="1"/>
  <c r="H64" i="2"/>
  <c r="L63" i="2"/>
  <c r="M63" i="2" s="1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L39" i="2"/>
  <c r="M39" i="2" s="1"/>
  <c r="H39" i="2"/>
  <c r="L38" i="2"/>
  <c r="M38" i="2" s="1"/>
  <c r="H38" i="2"/>
  <c r="L37" i="2"/>
  <c r="M37" i="2" s="1"/>
  <c r="H37" i="2"/>
  <c r="L36" i="2"/>
  <c r="M36" i="2" s="1"/>
  <c r="H36" i="2"/>
  <c r="L35" i="2"/>
  <c r="M35" i="2" s="1"/>
  <c r="H35" i="2"/>
  <c r="L34" i="2"/>
  <c r="M34" i="2" s="1"/>
  <c r="H34" i="2"/>
  <c r="L33" i="2"/>
  <c r="M33" i="2" s="1"/>
  <c r="H33" i="2"/>
  <c r="L32" i="2"/>
  <c r="M32" i="2" s="1"/>
  <c r="H32" i="2"/>
  <c r="L31" i="2"/>
  <c r="M31" i="2" s="1"/>
  <c r="H31" i="2"/>
  <c r="L30" i="2"/>
  <c r="J30" i="2"/>
  <c r="H30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29" i="2"/>
  <c r="M29" i="2" s="1"/>
  <c r="K19" i="2"/>
  <c r="C19" i="2"/>
  <c r="B19" i="2"/>
  <c r="A19" i="2"/>
  <c r="P18" i="2"/>
  <c r="T18" i="2" s="1"/>
  <c r="T17" i="2"/>
  <c r="D29" i="2" s="1"/>
  <c r="T16" i="2"/>
  <c r="L15" i="2"/>
  <c r="K15" i="2"/>
  <c r="A15" i="2"/>
  <c r="H14" i="2"/>
  <c r="G14" i="2"/>
  <c r="F14" i="2"/>
  <c r="L14" i="2" s="1"/>
  <c r="E14" i="2"/>
  <c r="K14" i="2" s="1"/>
  <c r="A14" i="2"/>
  <c r="L13" i="2"/>
  <c r="K13" i="2"/>
  <c r="A13" i="2"/>
  <c r="H12" i="2"/>
  <c r="G12" i="2"/>
  <c r="F12" i="2"/>
  <c r="L12" i="2" s="1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H8" i="2"/>
  <c r="G8" i="2"/>
  <c r="F8" i="2"/>
  <c r="L8" i="2" s="1"/>
  <c r="E8" i="2"/>
  <c r="K8" i="2" s="1"/>
  <c r="A8" i="2"/>
  <c r="L7" i="2"/>
  <c r="K7" i="2"/>
  <c r="A7" i="2"/>
  <c r="H6" i="2"/>
  <c r="G6" i="2"/>
  <c r="F6" i="2"/>
  <c r="L6" i="2" s="1"/>
  <c r="E6" i="2"/>
  <c r="K6" i="2" s="1"/>
  <c r="A6" i="2"/>
  <c r="L5" i="2"/>
  <c r="K5" i="2"/>
  <c r="B5" i="2"/>
  <c r="A5" i="2" s="1"/>
  <c r="H4" i="2"/>
  <c r="G4" i="2"/>
  <c r="F4" i="2"/>
  <c r="L4" i="2" s="1"/>
  <c r="E4" i="2"/>
  <c r="K4" i="2" s="1"/>
  <c r="A4" i="2"/>
  <c r="L3" i="2"/>
  <c r="K3" i="2"/>
  <c r="D3" i="2"/>
  <c r="M30" i="2" l="1"/>
  <c r="M71" i="2"/>
  <c r="M72" i="2"/>
  <c r="M74" i="2"/>
  <c r="M75" i="2"/>
  <c r="M76" i="2"/>
  <c r="M78" i="2"/>
  <c r="M83" i="2"/>
  <c r="M85" i="2"/>
  <c r="L46" i="2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O29" i="2" l="1"/>
  <c r="N100" i="2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N164" i="2"/>
  <c r="O163" i="2"/>
  <c r="P163" i="2" s="1"/>
  <c r="P129" i="2"/>
  <c r="N131" i="2"/>
  <c r="O130" i="2"/>
  <c r="P130" i="2" s="1"/>
  <c r="N94" i="2"/>
  <c r="O93" i="2"/>
  <c r="P93" i="2" s="1"/>
  <c r="P59" i="2"/>
  <c r="N61" i="2"/>
  <c r="O60" i="2"/>
  <c r="P60" i="2" s="1"/>
  <c r="P99" i="2"/>
  <c r="P92" i="2"/>
  <c r="N31" i="2"/>
  <c r="O30" i="2"/>
  <c r="P30" i="2" s="1"/>
  <c r="P162" i="2"/>
  <c r="D44" i="2"/>
  <c r="F43" i="2"/>
  <c r="N101" i="2"/>
  <c r="O100" i="2"/>
  <c r="P100" i="2" s="1"/>
  <c r="E100" i="2" l="1"/>
  <c r="T100" i="2"/>
  <c r="E162" i="2"/>
  <c r="T162" i="2"/>
  <c r="E30" i="2"/>
  <c r="T30" i="2"/>
  <c r="E92" i="2"/>
  <c r="T92" i="2"/>
  <c r="E99" i="2"/>
  <c r="T99" i="2"/>
  <c r="E60" i="2"/>
  <c r="T60" i="2"/>
  <c r="E59" i="2"/>
  <c r="T59" i="2"/>
  <c r="E93" i="2"/>
  <c r="T93" i="2"/>
  <c r="E130" i="2"/>
  <c r="T130" i="2"/>
  <c r="E129" i="2"/>
  <c r="T129" i="2"/>
  <c r="E163" i="2"/>
  <c r="T163" i="2"/>
  <c r="E29" i="2"/>
  <c r="T29" i="2"/>
  <c r="N62" i="2"/>
  <c r="O61" i="2"/>
  <c r="P61" i="2" s="1"/>
  <c r="N165" i="2"/>
  <c r="O164" i="2"/>
  <c r="N95" i="2"/>
  <c r="O94" i="2"/>
  <c r="N32" i="2"/>
  <c r="O31" i="2"/>
  <c r="P31" i="2" s="1"/>
  <c r="D114" i="2"/>
  <c r="F113" i="2"/>
  <c r="N102" i="2"/>
  <c r="O101" i="2"/>
  <c r="P101" i="2" s="1"/>
  <c r="F44" i="2"/>
  <c r="D45" i="2"/>
  <c r="N132" i="2"/>
  <c r="O131" i="2"/>
  <c r="E101" i="2" l="1"/>
  <c r="T101" i="2"/>
  <c r="E31" i="2"/>
  <c r="T31" i="2"/>
  <c r="O95" i="2"/>
  <c r="P95" i="2" s="1"/>
  <c r="O165" i="2"/>
  <c r="P165" i="2" s="1"/>
  <c r="E61" i="2"/>
  <c r="T61" i="2"/>
  <c r="X29" i="2"/>
  <c r="U29" i="2"/>
  <c r="Y29" i="2" s="1"/>
  <c r="X163" i="2"/>
  <c r="U163" i="2"/>
  <c r="Y163" i="2" s="1"/>
  <c r="X129" i="2"/>
  <c r="U129" i="2"/>
  <c r="Y129" i="2" s="1"/>
  <c r="X130" i="2"/>
  <c r="U130" i="2"/>
  <c r="Y130" i="2" s="1"/>
  <c r="X93" i="2"/>
  <c r="U93" i="2"/>
  <c r="Y93" i="2" s="1"/>
  <c r="X59" i="2"/>
  <c r="U59" i="2"/>
  <c r="Y59" i="2" s="1"/>
  <c r="X60" i="2"/>
  <c r="U60" i="2"/>
  <c r="Y60" i="2" s="1"/>
  <c r="X99" i="2"/>
  <c r="U99" i="2"/>
  <c r="Y99" i="2" s="1"/>
  <c r="X92" i="2"/>
  <c r="U92" i="2"/>
  <c r="Y92" i="2" s="1"/>
  <c r="X30" i="2"/>
  <c r="U30" i="2"/>
  <c r="Y30" i="2" s="1"/>
  <c r="X162" i="2"/>
  <c r="U162" i="2"/>
  <c r="Y162" i="2" s="1"/>
  <c r="X100" i="2"/>
  <c r="U100" i="2"/>
  <c r="Y100" i="2" s="1"/>
  <c r="F45" i="2"/>
  <c r="D46" i="2"/>
  <c r="P164" i="2"/>
  <c r="R162" i="2"/>
  <c r="S162" i="2" s="1"/>
  <c r="P131" i="2"/>
  <c r="F114" i="2"/>
  <c r="D115" i="2"/>
  <c r="N33" i="2"/>
  <c r="O32" i="2"/>
  <c r="P94" i="2"/>
  <c r="N103" i="2"/>
  <c r="O102" i="2"/>
  <c r="P102" i="2" s="1"/>
  <c r="N133" i="2"/>
  <c r="O132" i="2"/>
  <c r="P132" i="2" s="1"/>
  <c r="N63" i="2"/>
  <c r="O62" i="2"/>
  <c r="E132" i="2" l="1"/>
  <c r="T132" i="2"/>
  <c r="E102" i="2"/>
  <c r="T102" i="2"/>
  <c r="E94" i="2"/>
  <c r="T94" i="2"/>
  <c r="E131" i="2"/>
  <c r="T131" i="2"/>
  <c r="E164" i="2"/>
  <c r="T164" i="2"/>
  <c r="X61" i="2"/>
  <c r="U61" i="2"/>
  <c r="Y61" i="2" s="1"/>
  <c r="E165" i="2"/>
  <c r="T165" i="2"/>
  <c r="E95" i="2"/>
  <c r="T95" i="2"/>
  <c r="X31" i="2"/>
  <c r="U31" i="2"/>
  <c r="Y31" i="2" s="1"/>
  <c r="X101" i="2"/>
  <c r="U101" i="2"/>
  <c r="Y101" i="2" s="1"/>
  <c r="D116" i="2"/>
  <c r="F115" i="2"/>
  <c r="N104" i="2"/>
  <c r="O103" i="2"/>
  <c r="P103" i="2" s="1"/>
  <c r="N134" i="2"/>
  <c r="O133" i="2"/>
  <c r="P133" i="2" s="1"/>
  <c r="N64" i="2"/>
  <c r="O63" i="2"/>
  <c r="P63" i="2" s="1"/>
  <c r="P32" i="2"/>
  <c r="F46" i="2"/>
  <c r="D47" i="2"/>
  <c r="P62" i="2"/>
  <c r="N34" i="2"/>
  <c r="O33" i="2"/>
  <c r="P33" i="2" s="1"/>
  <c r="E33" i="2" l="1"/>
  <c r="T33" i="2"/>
  <c r="E62" i="2"/>
  <c r="T62" i="2"/>
  <c r="E32" i="2"/>
  <c r="T32" i="2"/>
  <c r="E63" i="2"/>
  <c r="T63" i="2"/>
  <c r="E133" i="2"/>
  <c r="T133" i="2"/>
  <c r="E103" i="2"/>
  <c r="T103" i="2"/>
  <c r="X95" i="2"/>
  <c r="U95" i="2"/>
  <c r="Y95" i="2" s="1"/>
  <c r="X165" i="2"/>
  <c r="U165" i="2"/>
  <c r="Y165" i="2" s="1"/>
  <c r="X164" i="2"/>
  <c r="U164" i="2"/>
  <c r="Y164" i="2" s="1"/>
  <c r="X131" i="2"/>
  <c r="U131" i="2"/>
  <c r="Y131" i="2" s="1"/>
  <c r="X94" i="2"/>
  <c r="U94" i="2"/>
  <c r="Y94" i="2" s="1"/>
  <c r="X102" i="2"/>
  <c r="U102" i="2"/>
  <c r="Y102" i="2" s="1"/>
  <c r="X132" i="2"/>
  <c r="U132" i="2"/>
  <c r="Y132" i="2" s="1"/>
  <c r="N105" i="2"/>
  <c r="O104" i="2"/>
  <c r="F47" i="2"/>
  <c r="D48" i="2"/>
  <c r="N135" i="2"/>
  <c r="O134" i="2"/>
  <c r="N35" i="2"/>
  <c r="O34" i="2"/>
  <c r="N65" i="2"/>
  <c r="O64" i="2"/>
  <c r="D117" i="2"/>
  <c r="F116" i="2"/>
  <c r="X103" i="2" l="1"/>
  <c r="U103" i="2"/>
  <c r="Y103" i="2" s="1"/>
  <c r="X133" i="2"/>
  <c r="U133" i="2"/>
  <c r="Y133" i="2" s="1"/>
  <c r="X63" i="2"/>
  <c r="U63" i="2"/>
  <c r="Y63" i="2" s="1"/>
  <c r="X32" i="2"/>
  <c r="U32" i="2"/>
  <c r="Y32" i="2" s="1"/>
  <c r="X62" i="2"/>
  <c r="U62" i="2"/>
  <c r="Y62" i="2" s="1"/>
  <c r="X33" i="2"/>
  <c r="U33" i="2"/>
  <c r="Y33" i="2" s="1"/>
  <c r="P134" i="2"/>
  <c r="N36" i="2"/>
  <c r="O35" i="2"/>
  <c r="P35" i="2" s="1"/>
  <c r="P34" i="2"/>
  <c r="N136" i="2"/>
  <c r="O135" i="2"/>
  <c r="P135" i="2" s="1"/>
  <c r="D118" i="2"/>
  <c r="F117" i="2"/>
  <c r="F48" i="2"/>
  <c r="D49" i="2"/>
  <c r="P64" i="2"/>
  <c r="N66" i="2"/>
  <c r="O65" i="2"/>
  <c r="P65" i="2" s="1"/>
  <c r="P104" i="2"/>
  <c r="N106" i="2"/>
  <c r="O105" i="2"/>
  <c r="P105" i="2" s="1"/>
  <c r="E105" i="2" l="1"/>
  <c r="T105" i="2"/>
  <c r="E104" i="2"/>
  <c r="T104" i="2"/>
  <c r="E65" i="2"/>
  <c r="T65" i="2"/>
  <c r="E64" i="2"/>
  <c r="T64" i="2"/>
  <c r="E135" i="2"/>
  <c r="T135" i="2"/>
  <c r="E34" i="2"/>
  <c r="T34" i="2"/>
  <c r="E35" i="2"/>
  <c r="T35" i="2"/>
  <c r="E134" i="2"/>
  <c r="T134" i="2"/>
  <c r="N67" i="2"/>
  <c r="O66" i="2"/>
  <c r="P66" i="2" s="1"/>
  <c r="N37" i="2"/>
  <c r="O36" i="2"/>
  <c r="F49" i="2"/>
  <c r="D50" i="2"/>
  <c r="N107" i="2"/>
  <c r="O106" i="2"/>
  <c r="P106" i="2" s="1"/>
  <c r="N137" i="2"/>
  <c r="O136" i="2"/>
  <c r="P136" i="2" s="1"/>
  <c r="D119" i="2"/>
  <c r="F118" i="2"/>
  <c r="E136" i="2" l="1"/>
  <c r="T136" i="2"/>
  <c r="E106" i="2"/>
  <c r="T106" i="2"/>
  <c r="E66" i="2"/>
  <c r="T66" i="2"/>
  <c r="X134" i="2"/>
  <c r="U134" i="2"/>
  <c r="Y134" i="2" s="1"/>
  <c r="X35" i="2"/>
  <c r="U35" i="2"/>
  <c r="Y35" i="2" s="1"/>
  <c r="X34" i="2"/>
  <c r="U34" i="2"/>
  <c r="Y34" i="2" s="1"/>
  <c r="X135" i="2"/>
  <c r="U135" i="2"/>
  <c r="Y135" i="2" s="1"/>
  <c r="X64" i="2"/>
  <c r="U64" i="2"/>
  <c r="Y64" i="2" s="1"/>
  <c r="X65" i="2"/>
  <c r="U65" i="2"/>
  <c r="Y65" i="2" s="1"/>
  <c r="X104" i="2"/>
  <c r="U104" i="2"/>
  <c r="Y104" i="2" s="1"/>
  <c r="X105" i="2"/>
  <c r="U105" i="2"/>
  <c r="Y105" i="2" s="1"/>
  <c r="P36" i="2"/>
  <c r="F50" i="2"/>
  <c r="D51" i="2"/>
  <c r="D120" i="2"/>
  <c r="F119" i="2"/>
  <c r="N138" i="2"/>
  <c r="O137" i="2"/>
  <c r="P137" i="2" s="1"/>
  <c r="N38" i="2"/>
  <c r="O37" i="2"/>
  <c r="P37" i="2" s="1"/>
  <c r="N108" i="2"/>
  <c r="O107" i="2"/>
  <c r="P107" i="2" s="1"/>
  <c r="N68" i="2"/>
  <c r="O67" i="2"/>
  <c r="P67" i="2" s="1"/>
  <c r="E67" i="2" l="1"/>
  <c r="T67" i="2"/>
  <c r="E107" i="2"/>
  <c r="T107" i="2"/>
  <c r="E37" i="2"/>
  <c r="T37" i="2"/>
  <c r="E137" i="2"/>
  <c r="T137" i="2"/>
  <c r="E36" i="2"/>
  <c r="T36" i="2"/>
  <c r="X66" i="2"/>
  <c r="U66" i="2"/>
  <c r="Y66" i="2" s="1"/>
  <c r="X106" i="2"/>
  <c r="U106" i="2"/>
  <c r="Y106" i="2" s="1"/>
  <c r="X136" i="2"/>
  <c r="U136" i="2"/>
  <c r="Y136" i="2" s="1"/>
  <c r="N139" i="2"/>
  <c r="O138" i="2"/>
  <c r="P138" i="2" s="1"/>
  <c r="N69" i="2"/>
  <c r="O68" i="2"/>
  <c r="P68" i="2" s="1"/>
  <c r="D121" i="2"/>
  <c r="F120" i="2"/>
  <c r="F51" i="2"/>
  <c r="D52" i="2"/>
  <c r="N109" i="2"/>
  <c r="O108" i="2"/>
  <c r="P108" i="2" s="1"/>
  <c r="N39" i="2"/>
  <c r="O38" i="2"/>
  <c r="P38" i="2" s="1"/>
  <c r="E38" i="2" l="1"/>
  <c r="T38" i="2"/>
  <c r="E108" i="2"/>
  <c r="T108" i="2"/>
  <c r="E68" i="2"/>
  <c r="T68" i="2"/>
  <c r="E138" i="2"/>
  <c r="T138" i="2"/>
  <c r="X36" i="2"/>
  <c r="U36" i="2"/>
  <c r="Y36" i="2" s="1"/>
  <c r="X137" i="2"/>
  <c r="U137" i="2"/>
  <c r="Y137" i="2" s="1"/>
  <c r="X37" i="2"/>
  <c r="U37" i="2"/>
  <c r="Y37" i="2" s="1"/>
  <c r="X107" i="2"/>
  <c r="U107" i="2"/>
  <c r="Y107" i="2" s="1"/>
  <c r="X67" i="2"/>
  <c r="U67" i="2"/>
  <c r="Y67" i="2" s="1"/>
  <c r="N70" i="2"/>
  <c r="O69" i="2"/>
  <c r="P69" i="2" s="1"/>
  <c r="F52" i="2"/>
  <c r="D53" i="2"/>
  <c r="D122" i="2"/>
  <c r="F121" i="2"/>
  <c r="N40" i="2"/>
  <c r="O39" i="2"/>
  <c r="P39" i="2" s="1"/>
  <c r="N110" i="2"/>
  <c r="O109" i="2"/>
  <c r="P109" i="2" s="1"/>
  <c r="N140" i="2"/>
  <c r="O139" i="2"/>
  <c r="P139" i="2" s="1"/>
  <c r="E139" i="2" l="1"/>
  <c r="T139" i="2"/>
  <c r="E109" i="2"/>
  <c r="T109" i="2"/>
  <c r="E39" i="2"/>
  <c r="T39" i="2"/>
  <c r="E69" i="2"/>
  <c r="T69" i="2"/>
  <c r="X138" i="2"/>
  <c r="U138" i="2"/>
  <c r="Y138" i="2" s="1"/>
  <c r="X68" i="2"/>
  <c r="U68" i="2"/>
  <c r="Y68" i="2" s="1"/>
  <c r="X108" i="2"/>
  <c r="U108" i="2"/>
  <c r="Y108" i="2" s="1"/>
  <c r="X38" i="2"/>
  <c r="U38" i="2"/>
  <c r="Y38" i="2" s="1"/>
  <c r="N41" i="2"/>
  <c r="O40" i="2"/>
  <c r="P40" i="2" s="1"/>
  <c r="F122" i="2"/>
  <c r="D123" i="2"/>
  <c r="F53" i="2"/>
  <c r="D54" i="2"/>
  <c r="N141" i="2"/>
  <c r="O140" i="2"/>
  <c r="P140" i="2" s="1"/>
  <c r="N111" i="2"/>
  <c r="O110" i="2"/>
  <c r="P110" i="2" s="1"/>
  <c r="N71" i="2"/>
  <c r="O70" i="2"/>
  <c r="P70" i="2" s="1"/>
  <c r="E70" i="2" l="1"/>
  <c r="T70" i="2"/>
  <c r="E110" i="2"/>
  <c r="T110" i="2"/>
  <c r="E140" i="2"/>
  <c r="T140" i="2"/>
  <c r="E40" i="2"/>
  <c r="T40" i="2"/>
  <c r="X69" i="2"/>
  <c r="U69" i="2"/>
  <c r="Y69" i="2" s="1"/>
  <c r="X39" i="2"/>
  <c r="U39" i="2"/>
  <c r="Y39" i="2" s="1"/>
  <c r="X109" i="2"/>
  <c r="U109" i="2"/>
  <c r="Y109" i="2" s="1"/>
  <c r="X139" i="2"/>
  <c r="U139" i="2"/>
  <c r="Y139" i="2" s="1"/>
  <c r="D124" i="2"/>
  <c r="F123" i="2"/>
  <c r="N142" i="2"/>
  <c r="O141" i="2"/>
  <c r="P141" i="2" s="1"/>
  <c r="F54" i="2"/>
  <c r="D55" i="2"/>
  <c r="N72" i="2"/>
  <c r="O71" i="2"/>
  <c r="P71" i="2" s="1"/>
  <c r="N112" i="2"/>
  <c r="O111" i="2"/>
  <c r="P111" i="2" s="1"/>
  <c r="N42" i="2"/>
  <c r="O41" i="2"/>
  <c r="E41" i="2" s="1"/>
  <c r="E111" i="2" l="1"/>
  <c r="T111" i="2"/>
  <c r="E71" i="2"/>
  <c r="T71" i="2"/>
  <c r="E141" i="2"/>
  <c r="T141" i="2"/>
  <c r="X40" i="2"/>
  <c r="U40" i="2"/>
  <c r="Y40" i="2" s="1"/>
  <c r="X140" i="2"/>
  <c r="U140" i="2"/>
  <c r="Y140" i="2" s="1"/>
  <c r="X110" i="2"/>
  <c r="U110" i="2"/>
  <c r="Y110" i="2" s="1"/>
  <c r="X70" i="2"/>
  <c r="U70" i="2"/>
  <c r="Y70" i="2" s="1"/>
  <c r="F55" i="2"/>
  <c r="D56" i="2"/>
  <c r="N73" i="2"/>
  <c r="O72" i="2"/>
  <c r="P72" i="2" s="1"/>
  <c r="N143" i="2"/>
  <c r="O142" i="2"/>
  <c r="P142" i="2" s="1"/>
  <c r="N43" i="2"/>
  <c r="O42" i="2"/>
  <c r="E42" i="2" s="1"/>
  <c r="N113" i="2"/>
  <c r="O112" i="2"/>
  <c r="P112" i="2" s="1"/>
  <c r="D125" i="2"/>
  <c r="F124" i="2"/>
  <c r="E112" i="2" l="1"/>
  <c r="T112" i="2"/>
  <c r="E142" i="2"/>
  <c r="T142" i="2"/>
  <c r="E72" i="2"/>
  <c r="T72" i="2"/>
  <c r="X141" i="2"/>
  <c r="U141" i="2"/>
  <c r="Y141" i="2" s="1"/>
  <c r="X71" i="2"/>
  <c r="U71" i="2"/>
  <c r="Y71" i="2" s="1"/>
  <c r="X111" i="2"/>
  <c r="U111" i="2"/>
  <c r="Y111" i="2" s="1"/>
  <c r="N44" i="2"/>
  <c r="O43" i="2"/>
  <c r="E43" i="2" s="1"/>
  <c r="N144" i="2"/>
  <c r="O143" i="2"/>
  <c r="P143" i="2" s="1"/>
  <c r="F125" i="2"/>
  <c r="D126" i="2"/>
  <c r="N74" i="2"/>
  <c r="O73" i="2"/>
  <c r="P73" i="2" s="1"/>
  <c r="F56" i="2"/>
  <c r="D57" i="2"/>
  <c r="N114" i="2"/>
  <c r="O113" i="2"/>
  <c r="P113" i="2" s="1"/>
  <c r="E113" i="2" l="1"/>
  <c r="T113" i="2"/>
  <c r="E73" i="2"/>
  <c r="T73" i="2"/>
  <c r="E143" i="2"/>
  <c r="T143" i="2"/>
  <c r="X72" i="2"/>
  <c r="U72" i="2"/>
  <c r="Y72" i="2" s="1"/>
  <c r="X142" i="2"/>
  <c r="U142" i="2"/>
  <c r="Y142" i="2" s="1"/>
  <c r="X112" i="2"/>
  <c r="U112" i="2"/>
  <c r="Y112" i="2" s="1"/>
  <c r="N75" i="2"/>
  <c r="O74" i="2"/>
  <c r="P74" i="2" s="1"/>
  <c r="D127" i="2"/>
  <c r="F126" i="2"/>
  <c r="N145" i="2"/>
  <c r="O144" i="2"/>
  <c r="P144" i="2" s="1"/>
  <c r="N115" i="2"/>
  <c r="O114" i="2"/>
  <c r="P114" i="2" s="1"/>
  <c r="D58" i="2"/>
  <c r="F57" i="2"/>
  <c r="N45" i="2"/>
  <c r="O44" i="2"/>
  <c r="E44" i="2" s="1"/>
  <c r="E114" i="2" l="1"/>
  <c r="T114" i="2"/>
  <c r="E144" i="2"/>
  <c r="T144" i="2"/>
  <c r="E74" i="2"/>
  <c r="T74" i="2"/>
  <c r="X143" i="2"/>
  <c r="U143" i="2"/>
  <c r="Y143" i="2" s="1"/>
  <c r="X73" i="2"/>
  <c r="U73" i="2"/>
  <c r="Y73" i="2" s="1"/>
  <c r="X113" i="2"/>
  <c r="U113" i="2"/>
  <c r="Y113" i="2" s="1"/>
  <c r="N46" i="2"/>
  <c r="O45" i="2"/>
  <c r="E45" i="2" s="1"/>
  <c r="N116" i="2"/>
  <c r="O115" i="2"/>
  <c r="P115" i="2" s="1"/>
  <c r="N146" i="2"/>
  <c r="O145" i="2"/>
  <c r="P145" i="2" s="1"/>
  <c r="D128" i="2"/>
  <c r="F127" i="2"/>
  <c r="F58" i="2"/>
  <c r="D59" i="2"/>
  <c r="N76" i="2"/>
  <c r="O75" i="2"/>
  <c r="P75" i="2" s="1"/>
  <c r="E75" i="2" l="1"/>
  <c r="T75" i="2"/>
  <c r="E145" i="2"/>
  <c r="T145" i="2"/>
  <c r="E115" i="2"/>
  <c r="T115" i="2"/>
  <c r="X74" i="2"/>
  <c r="U74" i="2"/>
  <c r="Y74" i="2" s="1"/>
  <c r="X144" i="2"/>
  <c r="U144" i="2"/>
  <c r="Y144" i="2" s="1"/>
  <c r="X114" i="2"/>
  <c r="U114" i="2"/>
  <c r="Y114" i="2" s="1"/>
  <c r="F128" i="2"/>
  <c r="D129" i="2"/>
  <c r="N77" i="2"/>
  <c r="O76" i="2"/>
  <c r="P76" i="2" s="1"/>
  <c r="N117" i="2"/>
  <c r="O116" i="2"/>
  <c r="P116" i="2" s="1"/>
  <c r="N147" i="2"/>
  <c r="O146" i="2"/>
  <c r="P146" i="2" s="1"/>
  <c r="D60" i="2"/>
  <c r="F59" i="2"/>
  <c r="N47" i="2"/>
  <c r="O46" i="2"/>
  <c r="E46" i="2" s="1"/>
  <c r="E146" i="2" l="1"/>
  <c r="T146" i="2"/>
  <c r="E116" i="2"/>
  <c r="T116" i="2"/>
  <c r="E76" i="2"/>
  <c r="T76" i="2"/>
  <c r="X115" i="2"/>
  <c r="U115" i="2"/>
  <c r="Y115" i="2" s="1"/>
  <c r="X145" i="2"/>
  <c r="U145" i="2"/>
  <c r="Y145" i="2" s="1"/>
  <c r="X75" i="2"/>
  <c r="U75" i="2"/>
  <c r="Y75" i="2" s="1"/>
  <c r="N48" i="2"/>
  <c r="O47" i="2"/>
  <c r="E47" i="2" s="1"/>
  <c r="N148" i="2"/>
  <c r="O147" i="2"/>
  <c r="P147" i="2" s="1"/>
  <c r="N118" i="2"/>
  <c r="O117" i="2"/>
  <c r="P117" i="2" s="1"/>
  <c r="D130" i="2"/>
  <c r="F129" i="2"/>
  <c r="N78" i="2"/>
  <c r="O77" i="2"/>
  <c r="P77" i="2" s="1"/>
  <c r="F60" i="2"/>
  <c r="D61" i="2"/>
  <c r="E77" i="2" l="1"/>
  <c r="T77" i="2"/>
  <c r="E117" i="2"/>
  <c r="T117" i="2"/>
  <c r="E147" i="2"/>
  <c r="T147" i="2"/>
  <c r="X76" i="2"/>
  <c r="U76" i="2"/>
  <c r="Y76" i="2" s="1"/>
  <c r="X116" i="2"/>
  <c r="U116" i="2"/>
  <c r="Y116" i="2" s="1"/>
  <c r="X146" i="2"/>
  <c r="U146" i="2"/>
  <c r="Y146" i="2" s="1"/>
  <c r="F61" i="2"/>
  <c r="D62" i="2"/>
  <c r="N119" i="2"/>
  <c r="O118" i="2"/>
  <c r="P118" i="2" s="1"/>
  <c r="N149" i="2"/>
  <c r="O148" i="2"/>
  <c r="P148" i="2" s="1"/>
  <c r="D131" i="2"/>
  <c r="F130" i="2"/>
  <c r="N79" i="2"/>
  <c r="O78" i="2"/>
  <c r="P78" i="2" s="1"/>
  <c r="N49" i="2"/>
  <c r="O48" i="2"/>
  <c r="E48" i="2" s="1"/>
  <c r="E78" i="2" l="1"/>
  <c r="T78" i="2"/>
  <c r="E148" i="2"/>
  <c r="T148" i="2"/>
  <c r="E118" i="2"/>
  <c r="T118" i="2"/>
  <c r="X147" i="2"/>
  <c r="U147" i="2"/>
  <c r="Y147" i="2" s="1"/>
  <c r="X117" i="2"/>
  <c r="U117" i="2"/>
  <c r="Y117" i="2" s="1"/>
  <c r="X77" i="2"/>
  <c r="U77" i="2"/>
  <c r="Y77" i="2" s="1"/>
  <c r="D132" i="2"/>
  <c r="F131" i="2"/>
  <c r="O149" i="2"/>
  <c r="P149" i="2" s="1"/>
  <c r="N150" i="2"/>
  <c r="N50" i="2"/>
  <c r="O49" i="2"/>
  <c r="E49" i="2" s="1"/>
  <c r="D63" i="2"/>
  <c r="F62" i="2"/>
  <c r="N120" i="2"/>
  <c r="O119" i="2"/>
  <c r="P119" i="2" s="1"/>
  <c r="N80" i="2"/>
  <c r="O79" i="2"/>
  <c r="P79" i="2" s="1"/>
  <c r="E79" i="2" l="1"/>
  <c r="T79" i="2"/>
  <c r="E119" i="2"/>
  <c r="T119" i="2"/>
  <c r="E149" i="2"/>
  <c r="T149" i="2"/>
  <c r="X118" i="2"/>
  <c r="U118" i="2"/>
  <c r="Y118" i="2" s="1"/>
  <c r="X148" i="2"/>
  <c r="U148" i="2"/>
  <c r="Y148" i="2" s="1"/>
  <c r="X78" i="2"/>
  <c r="U78" i="2"/>
  <c r="Y78" i="2" s="1"/>
  <c r="F63" i="2"/>
  <c r="D64" i="2"/>
  <c r="N81" i="2"/>
  <c r="O80" i="2"/>
  <c r="E80" i="2" s="1"/>
  <c r="N51" i="2"/>
  <c r="O50" i="2"/>
  <c r="E50" i="2" s="1"/>
  <c r="N151" i="2"/>
  <c r="O150" i="2"/>
  <c r="P150" i="2" s="1"/>
  <c r="N121" i="2"/>
  <c r="O120" i="2"/>
  <c r="E120" i="2" s="1"/>
  <c r="F132" i="2"/>
  <c r="D133" i="2"/>
  <c r="E150" i="2" l="1"/>
  <c r="T150" i="2"/>
  <c r="X149" i="2"/>
  <c r="U149" i="2"/>
  <c r="Y149" i="2" s="1"/>
  <c r="X119" i="2"/>
  <c r="U119" i="2"/>
  <c r="Y119" i="2" s="1"/>
  <c r="X79" i="2"/>
  <c r="U79" i="2"/>
  <c r="Y79" i="2" s="1"/>
  <c r="N52" i="2"/>
  <c r="O51" i="2"/>
  <c r="E51" i="2" s="1"/>
  <c r="N152" i="2"/>
  <c r="O151" i="2"/>
  <c r="P151" i="2" s="1"/>
  <c r="D65" i="2"/>
  <c r="F64" i="2"/>
  <c r="D134" i="2"/>
  <c r="F133" i="2"/>
  <c r="N82" i="2"/>
  <c r="O81" i="2"/>
  <c r="P81" i="2" s="1"/>
  <c r="N122" i="2"/>
  <c r="O121" i="2"/>
  <c r="P121" i="2" s="1"/>
  <c r="E121" i="2" l="1"/>
  <c r="T121" i="2"/>
  <c r="E81" i="2"/>
  <c r="T81" i="2"/>
  <c r="E151" i="2"/>
  <c r="T151" i="2"/>
  <c r="X150" i="2"/>
  <c r="U150" i="2"/>
  <c r="Y150" i="2" s="1"/>
  <c r="F65" i="2"/>
  <c r="D66" i="2"/>
  <c r="D135" i="2"/>
  <c r="F134" i="2"/>
  <c r="N123" i="2"/>
  <c r="O122" i="2"/>
  <c r="P122" i="2" s="1"/>
  <c r="N153" i="2"/>
  <c r="O152" i="2"/>
  <c r="P152" i="2" s="1"/>
  <c r="N83" i="2"/>
  <c r="O82" i="2"/>
  <c r="P82" i="2" s="1"/>
  <c r="N53" i="2"/>
  <c r="O52" i="2"/>
  <c r="E52" i="2" s="1"/>
  <c r="E82" i="2" l="1"/>
  <c r="T82" i="2"/>
  <c r="E152" i="2"/>
  <c r="T152" i="2"/>
  <c r="E122" i="2"/>
  <c r="T122" i="2"/>
  <c r="X151" i="2"/>
  <c r="U151" i="2"/>
  <c r="Y151" i="2" s="1"/>
  <c r="X81" i="2"/>
  <c r="U81" i="2"/>
  <c r="Y81" i="2" s="1"/>
  <c r="X121" i="2"/>
  <c r="U121" i="2"/>
  <c r="Y121" i="2" s="1"/>
  <c r="N54" i="2"/>
  <c r="O53" i="2"/>
  <c r="E53" i="2" s="1"/>
  <c r="F135" i="2"/>
  <c r="D136" i="2"/>
  <c r="D67" i="2"/>
  <c r="F66" i="2"/>
  <c r="N154" i="2"/>
  <c r="O153" i="2"/>
  <c r="P153" i="2" s="1"/>
  <c r="O123" i="2"/>
  <c r="P123" i="2" s="1"/>
  <c r="N124" i="2"/>
  <c r="N84" i="2"/>
  <c r="O83" i="2"/>
  <c r="P83" i="2" s="1"/>
  <c r="E83" i="2" l="1"/>
  <c r="T83" i="2"/>
  <c r="E123" i="2"/>
  <c r="T123" i="2"/>
  <c r="E153" i="2"/>
  <c r="T153" i="2"/>
  <c r="X122" i="2"/>
  <c r="U122" i="2"/>
  <c r="Y122" i="2" s="1"/>
  <c r="X152" i="2"/>
  <c r="U152" i="2"/>
  <c r="Y152" i="2" s="1"/>
  <c r="X82" i="2"/>
  <c r="U82" i="2"/>
  <c r="Y82" i="2" s="1"/>
  <c r="N155" i="2"/>
  <c r="O154" i="2"/>
  <c r="P154" i="2" s="1"/>
  <c r="N85" i="2"/>
  <c r="O84" i="2"/>
  <c r="P84" i="2" s="1"/>
  <c r="N125" i="2"/>
  <c r="O124" i="2"/>
  <c r="P124" i="2" s="1"/>
  <c r="D68" i="2"/>
  <c r="F67" i="2"/>
  <c r="D137" i="2"/>
  <c r="F136" i="2"/>
  <c r="N55" i="2"/>
  <c r="O54" i="2"/>
  <c r="E54" i="2" s="1"/>
  <c r="E124" i="2" l="1"/>
  <c r="T124" i="2"/>
  <c r="E84" i="2"/>
  <c r="T84" i="2"/>
  <c r="E154" i="2"/>
  <c r="T154" i="2"/>
  <c r="X153" i="2"/>
  <c r="U153" i="2"/>
  <c r="Y153" i="2" s="1"/>
  <c r="X123" i="2"/>
  <c r="U123" i="2"/>
  <c r="Y123" i="2" s="1"/>
  <c r="X83" i="2"/>
  <c r="U83" i="2"/>
  <c r="Y83" i="2" s="1"/>
  <c r="N56" i="2"/>
  <c r="O55" i="2"/>
  <c r="E55" i="2" s="1"/>
  <c r="N86" i="2"/>
  <c r="O85" i="2"/>
  <c r="P85" i="2" s="1"/>
  <c r="F68" i="2"/>
  <c r="D69" i="2"/>
  <c r="N126" i="2"/>
  <c r="O125" i="2"/>
  <c r="P125" i="2" s="1"/>
  <c r="D138" i="2"/>
  <c r="F137" i="2"/>
  <c r="N156" i="2"/>
  <c r="O155" i="2"/>
  <c r="P155" i="2" s="1"/>
  <c r="E155" i="2" l="1"/>
  <c r="T155" i="2"/>
  <c r="E125" i="2"/>
  <c r="T125" i="2"/>
  <c r="E85" i="2"/>
  <c r="T85" i="2"/>
  <c r="X154" i="2"/>
  <c r="U154" i="2"/>
  <c r="Y154" i="2" s="1"/>
  <c r="X84" i="2"/>
  <c r="U84" i="2"/>
  <c r="Y84" i="2" s="1"/>
  <c r="X124" i="2"/>
  <c r="U124" i="2"/>
  <c r="Y124" i="2" s="1"/>
  <c r="N87" i="2"/>
  <c r="O86" i="2"/>
  <c r="P86" i="2" s="1"/>
  <c r="N127" i="2"/>
  <c r="O126" i="2"/>
  <c r="P126" i="2" s="1"/>
  <c r="N157" i="2"/>
  <c r="O156" i="2"/>
  <c r="P156" i="2" s="1"/>
  <c r="F69" i="2"/>
  <c r="D70" i="2"/>
  <c r="D139" i="2"/>
  <c r="F138" i="2"/>
  <c r="N57" i="2"/>
  <c r="O56" i="2"/>
  <c r="E56" i="2" s="1"/>
  <c r="E156" i="2" l="1"/>
  <c r="T156" i="2"/>
  <c r="E126" i="2"/>
  <c r="T126" i="2"/>
  <c r="E86" i="2"/>
  <c r="T86" i="2"/>
  <c r="X85" i="2"/>
  <c r="U85" i="2"/>
  <c r="Y85" i="2" s="1"/>
  <c r="X125" i="2"/>
  <c r="U125" i="2"/>
  <c r="Y125" i="2" s="1"/>
  <c r="X155" i="2"/>
  <c r="U155" i="2"/>
  <c r="Y155" i="2" s="1"/>
  <c r="D71" i="2"/>
  <c r="F70" i="2"/>
  <c r="O157" i="2"/>
  <c r="P157" i="2" s="1"/>
  <c r="N158" i="2"/>
  <c r="N58" i="2"/>
  <c r="O58" i="2" s="1"/>
  <c r="E58" i="2" s="1"/>
  <c r="O57" i="2"/>
  <c r="E57" i="2" s="1"/>
  <c r="N128" i="2"/>
  <c r="O127" i="2"/>
  <c r="P127" i="2" s="1"/>
  <c r="D140" i="2"/>
  <c r="F139" i="2"/>
  <c r="N88" i="2"/>
  <c r="O87" i="2"/>
  <c r="P87" i="2" s="1"/>
  <c r="E87" i="2" l="1"/>
  <c r="T87" i="2"/>
  <c r="O88" i="2"/>
  <c r="P88" i="2" s="1"/>
  <c r="E127" i="2"/>
  <c r="T127" i="2"/>
  <c r="O128" i="2"/>
  <c r="P128" i="2" s="1"/>
  <c r="O158" i="2"/>
  <c r="E157" i="2"/>
  <c r="T157" i="2"/>
  <c r="X86" i="2"/>
  <c r="C162" i="2"/>
  <c r="C163" i="2" s="1"/>
  <c r="F163" i="2" s="1"/>
  <c r="U86" i="2"/>
  <c r="Y86" i="2" s="1"/>
  <c r="X126" i="2"/>
  <c r="U126" i="2"/>
  <c r="Y126" i="2" s="1"/>
  <c r="X156" i="2"/>
  <c r="U156" i="2"/>
  <c r="Y156" i="2" s="1"/>
  <c r="P158" i="2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E158" i="2" l="1"/>
  <c r="T158" i="2"/>
  <c r="X157" i="2"/>
  <c r="U157" i="2"/>
  <c r="Y157" i="2" s="1"/>
  <c r="E128" i="2"/>
  <c r="T128" i="2"/>
  <c r="X127" i="2"/>
  <c r="U127" i="2"/>
  <c r="Y127" i="2" s="1"/>
  <c r="E88" i="2"/>
  <c r="T88" i="2"/>
  <c r="X87" i="2"/>
  <c r="U87" i="2"/>
  <c r="Y87" i="2" s="1"/>
  <c r="D142" i="2"/>
  <c r="F141" i="2"/>
  <c r="D73" i="2"/>
  <c r="F72" i="2"/>
  <c r="X88" i="2" l="1"/>
  <c r="U88" i="2"/>
  <c r="Y88" i="2" s="1"/>
  <c r="X128" i="2"/>
  <c r="U128" i="2"/>
  <c r="Y128" i="2" s="1"/>
  <c r="X158" i="2"/>
  <c r="U158" i="2"/>
  <c r="Y158" i="2" s="1"/>
  <c r="D74" i="2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<sst xmlns="http://schemas.openxmlformats.org/spreadsheetml/2006/main" count="698" uniqueCount="199">
  <si>
    <t>Count Rate Calculation</t>
  </si>
  <si>
    <t>On-axis ref (mm)</t>
  </si>
  <si>
    <t>Detector Position
(mm)</t>
  </si>
  <si>
    <t>Position</t>
  </si>
  <si>
    <t>Count Rate
(protons/s)</t>
  </si>
  <si>
    <t>Equivalent Count
Rate (protons/s)</t>
  </si>
  <si>
    <t>ox (um)</t>
  </si>
  <si>
    <t>oy (um)</t>
  </si>
  <si>
    <t>cx (um)</t>
  </si>
  <si>
    <t>cy (um)</t>
  </si>
  <si>
    <t>Brightness</t>
  </si>
  <si>
    <t>Expected x (nm)</t>
  </si>
  <si>
    <t>Expected y (nm)</t>
  </si>
  <si>
    <t>Energy (MeV)</t>
  </si>
  <si>
    <t>On-axis no bias</t>
  </si>
  <si>
    <t>Current</t>
  </si>
  <si>
    <t>nA</t>
  </si>
  <si>
    <t>Grid no bias</t>
  </si>
  <si>
    <t>Grid w bias</t>
  </si>
  <si>
    <t>6k</t>
  </si>
  <si>
    <t>1k</t>
  </si>
  <si>
    <t>~900</t>
  </si>
  <si>
    <t>grid w bias</t>
  </si>
  <si>
    <t>400ish</t>
  </si>
  <si>
    <t>Grid</t>
  </si>
  <si>
    <t>Writing Parameters</t>
  </si>
  <si>
    <t>Writing Place</t>
  </si>
  <si>
    <t>Spot Size</t>
  </si>
  <si>
    <t>x</t>
  </si>
  <si>
    <t>y</t>
  </si>
  <si>
    <t>Target X (mm)</t>
  </si>
  <si>
    <t>X (nm)</t>
  </si>
  <si>
    <t>Scan size (um)</t>
  </si>
  <si>
    <t>Target Y (mm)</t>
  </si>
  <si>
    <t>Y (nm)</t>
  </si>
  <si>
    <t>Beam spot size (um)</t>
  </si>
  <si>
    <t>Target Z (mm)</t>
  </si>
  <si>
    <t>for writing</t>
  </si>
  <si>
    <t>X (um)</t>
  </si>
  <si>
    <t>Y (um)</t>
  </si>
  <si>
    <t>Scanning Parameters</t>
  </si>
  <si>
    <t>Scan size</t>
  </si>
  <si>
    <t>File Name</t>
  </si>
  <si>
    <t>20250430_dou_512</t>
  </si>
  <si>
    <t>horzarray512 (actual dose)</t>
  </si>
  <si>
    <t>vertarray512</t>
  </si>
  <si>
    <t>horzarray512 (old)</t>
  </si>
  <si>
    <t>horzarray512 (test)</t>
  </si>
  <si>
    <t>Horz bar</t>
  </si>
  <si>
    <t>x (nm)</t>
  </si>
  <si>
    <t>y (nm)</t>
  </si>
  <si>
    <t>Beam spot size</t>
  </si>
  <si>
    <t>Scan area (mm2)</t>
  </si>
  <si>
    <t>pixel</t>
  </si>
  <si>
    <t>Resolution</t>
  </si>
  <si>
    <t>nm</t>
  </si>
  <si>
    <t>px for 1 um</t>
  </si>
  <si>
    <t>lines</t>
  </si>
  <si>
    <t>512 max</t>
  </si>
  <si>
    <t>x pixel size (mm)</t>
  </si>
  <si>
    <t>y pixel size (mm)</t>
  </si>
  <si>
    <t>Dose (#/cm2)</t>
  </si>
  <si>
    <t>Dose (nC/mm2)</t>
  </si>
  <si>
    <t>Ion Count Rate
(#/s)</t>
  </si>
  <si>
    <t>Time per pixel (s)</t>
  </si>
  <si>
    <t>Frequency (Hz)</t>
  </si>
  <si>
    <t>Points</t>
  </si>
  <si>
    <t>Blanks</t>
  </si>
  <si>
    <t>Total time (s)</t>
  </si>
  <si>
    <t>Total time (min)</t>
  </si>
  <si>
    <t>beam velocity (mm/s)</t>
  </si>
  <si>
    <t>beam velocity (um/s)</t>
  </si>
  <si>
    <t>Ion count/length (#/um)</t>
  </si>
  <si>
    <t>no. of px for 1 um</t>
  </si>
  <si>
    <t>resolution</t>
  </si>
  <si>
    <t>x step size (nm)</t>
  </si>
  <si>
    <t>y step size (nm)</t>
  </si>
  <si>
    <t>voltage step (mV)/px</t>
  </si>
  <si>
    <t>Writing</t>
  </si>
  <si>
    <t>X (mm)</t>
  </si>
  <si>
    <t>Y (mm)</t>
  </si>
  <si>
    <t>X Voltage (V)</t>
  </si>
  <si>
    <t>Y Voltage (V)</t>
  </si>
  <si>
    <t>EPL File Name</t>
  </si>
  <si>
    <t>num</t>
  </si>
  <si>
    <t>horzarray512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</si>
  <si>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</si>
  <si>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</si>
  <si>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</si>
  <si>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</si>
  <si>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</si>
  <si>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</si>
  <si>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</si>
  <si>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</si>
  <si>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</si>
  <si>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</si>
  <si>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</si>
  <si>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</si>
  <si>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</si>
  <si>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</si>
  <si>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</si>
  <si>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</si>
  <si>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</si>
  <si>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</si>
  <si>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</si>
  <si>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</si>
  <si>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</si>
  <si>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</si>
  <si>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</si>
  <si>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</si>
  <si>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</si>
  <si>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</si>
  <si>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</si>
  <si>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</si>
  <si>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</si>
  <si>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</si>
  <si>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</si>
  <si>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</si>
  <si>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</si>
  <si>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</si>
  <si>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</si>
  <si>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</si>
  <si>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</si>
  <si>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</si>
  <si>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</si>
  <si>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</si>
  <si>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</si>
  <si>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</si>
  <si>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</si>
  <si>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</si>
  <si>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</si>
  <si>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</si>
  <si>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</si>
  <si>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</si>
  <si>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</si>
  <si>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</si>
  <si>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</si>
  <si>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</si>
  <si>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</si>
  <si>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</si>
  <si>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</si>
  <si>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</si>
  <si>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</si>
  <si>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</si>
  <si>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</si>
  <si>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</si>
  <si>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</si>
  <si>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</si>
  <si>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ion count rate (#/s)</t>
  </si>
  <si>
    <t>time per channel (s)</t>
  </si>
  <si>
    <t>stage speed (mm/s)</t>
  </si>
  <si>
    <t>old dosage (inacc)</t>
  </si>
  <si>
    <t xml:space="preserve">time total (second) </t>
  </si>
  <si>
    <t xml:space="preserve">(mins) </t>
  </si>
  <si>
    <t>stage velo (um/s)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</si>
  <si>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</si>
  <si>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</si>
  <si>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</si>
  <si>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</si>
  <si>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</si>
  <si>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</si>
  <si>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</si>
  <si>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</si>
  <si>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</si>
  <si>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</si>
  <si>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count rate (#/s)</t>
  </si>
  <si>
    <t>RBD current (nA)</t>
  </si>
  <si>
    <t>RBD current (pA)</t>
  </si>
  <si>
    <t>note rbd can measure up to 0.1 pA precision, or 0.0001 nA</t>
  </si>
  <si>
    <t>Writing Area</t>
  </si>
  <si>
    <t>Beam spot size (nm)</t>
  </si>
  <si>
    <t>1D Lines</t>
  </si>
  <si>
    <t>Voltage (legacy, keep 0 for 1D)</t>
  </si>
  <si>
    <t>length (um)</t>
  </si>
  <si>
    <t>Ions needed (#)</t>
  </si>
  <si>
    <t>ions (#/s)</t>
  </si>
  <si>
    <t>time (s)</t>
  </si>
  <si>
    <t>stage speed (um/s)</t>
  </si>
  <si>
    <t xml:space="preserve">total time (s) </t>
  </si>
  <si>
    <t>spacing(nm)</t>
  </si>
  <si>
    <t>mm</t>
  </si>
  <si>
    <t>dist from start</t>
  </si>
  <si>
    <t>2D Alignment Marker (use old 2D excel formulas)</t>
  </si>
  <si>
    <t>top and lower bars</t>
  </si>
  <si>
    <t>Count Rate
(H2+/s)</t>
  </si>
  <si>
    <t>Equivalent Count
Rate (H2+/s)</t>
  </si>
  <si>
    <t>hline</t>
  </si>
  <si>
    <t>vline</t>
  </si>
  <si>
    <t>Ion Count Rate (#/s)</t>
  </si>
  <si>
    <t>x pixel size (mm/px)</t>
  </si>
  <si>
    <t>y pixel size (mm/px)</t>
  </si>
  <si>
    <t>Ions per pixel</t>
  </si>
  <si>
    <t>Frequency (Hz) or px/s</t>
  </si>
  <si>
    <t>ORIGIN</t>
  </si>
  <si>
    <t>dose</t>
  </si>
  <si>
    <t>time</t>
  </si>
  <si>
    <t xml:space="preserve">time total (s) </t>
  </si>
  <si>
    <t>2nd set</t>
  </si>
  <si>
    <t>3rd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</si>
</sst>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"/>
    <numFmt numFmtId="167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0" fontId="0" fillId="0" borderId="29" xfId="0" applyBorder="1" applyAlignment="1">
      <alignment horizontal="right"/>
    </xf>
    <xf numFmtId="0" fontId="4" fillId="7" borderId="29" xfId="2" applyBorder="1"/>
    <xf numFmtId="0" fontId="4" fillId="2" borderId="29" xfId="2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29" xfId="0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29" xfId="0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/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zoomScaleNormal="100" workbookViewId="0">
      <selection activeCell="G35" sqref="G35"/>
    </sheetView>
  </sheetViews>
  <sheetFormatPr defaultColWidth="9.140625" defaultRowHeight="1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20"/>
    </row>
    <row r="2" spans="1:16" ht="28.9">
      <c r="A2" s="2" t="s">
        <v>1</v>
      </c>
      <c r="B2" s="14" t="s">
        <v>2</v>
      </c>
      <c r="C2" s="15" t="s">
        <v>3</v>
      </c>
      <c r="D2" s="15" t="s">
        <v>4</v>
      </c>
      <c r="E2" s="16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6" ht="14.45">
      <c r="A3" s="4">
        <v>0</v>
      </c>
      <c r="B3" s="4">
        <v>17</v>
      </c>
      <c r="C3" s="1" t="s">
        <v>14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15</v>
      </c>
      <c r="P3" s="1" t="s">
        <v>16</v>
      </c>
    </row>
    <row r="4" spans="1:16" ht="14.45">
      <c r="A4" s="4">
        <f>B4-$B$3</f>
        <v>0</v>
      </c>
      <c r="B4" s="4">
        <v>17</v>
      </c>
      <c r="C4" s="1" t="s">
        <v>17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>
      <c r="A5" s="4">
        <f>B5-$B$3</f>
        <v>0</v>
      </c>
      <c r="B5" s="4">
        <f>B4</f>
        <v>17</v>
      </c>
      <c r="C5" s="1" t="s">
        <v>17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>
      <c r="A6" s="4">
        <f t="shared" ref="A6:A15" si="4">B6-$B$3</f>
        <v>11</v>
      </c>
      <c r="B6" s="4">
        <v>28</v>
      </c>
      <c r="C6" s="1" t="s">
        <v>17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>
      <c r="A7" s="4">
        <f t="shared" si="4"/>
        <v>11</v>
      </c>
      <c r="B7" s="4">
        <v>28</v>
      </c>
      <c r="C7" s="50" t="s">
        <v>17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>
      <c r="A8" s="4">
        <f t="shared" si="4"/>
        <v>19</v>
      </c>
      <c r="B8" s="4">
        <v>36</v>
      </c>
      <c r="C8" s="52" t="s">
        <v>17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>
      <c r="A9" s="4">
        <f t="shared" si="4"/>
        <v>11</v>
      </c>
      <c r="B9" s="4">
        <v>28</v>
      </c>
      <c r="C9" s="50" t="s">
        <v>18</v>
      </c>
      <c r="D9" s="50" t="s">
        <v>19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>
      <c r="A10" s="4">
        <f t="shared" si="4"/>
        <v>16</v>
      </c>
      <c r="B10" s="4">
        <v>33</v>
      </c>
      <c r="C10" s="51" t="s">
        <v>18</v>
      </c>
      <c r="D10" s="51" t="s">
        <v>20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>
      <c r="A11" s="4">
        <f t="shared" si="4"/>
        <v>16</v>
      </c>
      <c r="B11" s="4">
        <v>33</v>
      </c>
      <c r="C11" s="51" t="s">
        <v>17</v>
      </c>
      <c r="D11" s="51" t="s">
        <v>21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>
      <c r="A12" s="4">
        <f t="shared" si="4"/>
        <v>19</v>
      </c>
      <c r="B12" s="4">
        <v>36</v>
      </c>
      <c r="C12" s="52" t="s">
        <v>22</v>
      </c>
      <c r="D12" s="52" t="s">
        <v>23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>
      <c r="A13" s="4">
        <f t="shared" si="4"/>
        <v>23</v>
      </c>
      <c r="B13" s="4">
        <v>40</v>
      </c>
      <c r="C13" s="1" t="s">
        <v>24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>
      <c r="A14" s="4">
        <f t="shared" si="4"/>
        <v>27</v>
      </c>
      <c r="B14" s="4">
        <v>44</v>
      </c>
      <c r="C14" s="1" t="s">
        <v>24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>
      <c r="A15" s="5">
        <f t="shared" si="4"/>
        <v>27</v>
      </c>
      <c r="B15" s="5">
        <v>44</v>
      </c>
      <c r="C15" s="6" t="s">
        <v>24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>
      <c r="D16" s="9"/>
      <c r="I16" s="10"/>
      <c r="J16" s="10"/>
      <c r="K16" s="10"/>
    </row>
    <row r="17" spans="1:16" thickBot="1">
      <c r="A17" s="221" t="s">
        <v>25</v>
      </c>
      <c r="B17" s="222"/>
      <c r="C17" s="223"/>
      <c r="D17" s="9"/>
      <c r="E17" s="226" t="s">
        <v>26</v>
      </c>
      <c r="F17" s="225"/>
      <c r="H17" s="221" t="s">
        <v>27</v>
      </c>
      <c r="I17" s="223"/>
      <c r="J17" s="10"/>
      <c r="K17" s="10"/>
    </row>
    <row r="18" spans="1:16" ht="14.45">
      <c r="A18" s="17"/>
      <c r="B18" s="1" t="s">
        <v>28</v>
      </c>
      <c r="C18" s="12" t="s">
        <v>29</v>
      </c>
      <c r="D18" s="9"/>
      <c r="E18" s="17" t="s">
        <v>30</v>
      </c>
      <c r="F18" s="8">
        <v>0.9</v>
      </c>
      <c r="H18" s="2" t="s">
        <v>31</v>
      </c>
      <c r="I18" s="24">
        <v>42</v>
      </c>
      <c r="J18" s="10"/>
      <c r="K18" s="10"/>
    </row>
    <row r="19" spans="1:16" thickBot="1">
      <c r="A19" s="18" t="s">
        <v>32</v>
      </c>
      <c r="B19" s="1">
        <v>12.43</v>
      </c>
      <c r="C19" s="12">
        <v>13.84</v>
      </c>
      <c r="D19" s="9"/>
      <c r="E19" s="18" t="s">
        <v>33</v>
      </c>
      <c r="F19" s="12">
        <v>3.75</v>
      </c>
      <c r="H19" s="5" t="s">
        <v>34</v>
      </c>
      <c r="I19" s="25">
        <v>106</v>
      </c>
      <c r="J19" s="10"/>
      <c r="K19" s="10"/>
    </row>
    <row r="20" spans="1:16" thickBot="1">
      <c r="A20" s="19" t="s">
        <v>35</v>
      </c>
      <c r="B20" s="6">
        <f>I18/1000</f>
        <v>4.2000000000000003E-2</v>
      </c>
      <c r="C20" s="13">
        <f>I19/1000</f>
        <v>0.106</v>
      </c>
      <c r="D20" s="9"/>
      <c r="E20" s="19" t="s">
        <v>36</v>
      </c>
      <c r="F20" s="13">
        <f>-7.5+0.486</f>
        <v>-7.0140000000000002</v>
      </c>
      <c r="I20" s="10"/>
      <c r="J20" s="10"/>
      <c r="K20" s="10"/>
      <c r="N20" s="41" t="s">
        <v>37</v>
      </c>
      <c r="O20" s="42"/>
      <c r="P20" s="43"/>
    </row>
    <row r="21" spans="1:16" thickBot="1">
      <c r="A21" s="20"/>
      <c r="B21" s="49"/>
      <c r="N21" s="35"/>
      <c r="O21" s="27" t="s">
        <v>38</v>
      </c>
      <c r="P21" s="44" t="s">
        <v>39</v>
      </c>
    </row>
    <row r="22" spans="1:16" thickBot="1">
      <c r="A22" s="221" t="s">
        <v>40</v>
      </c>
      <c r="B22" s="224"/>
      <c r="C22" s="224"/>
      <c r="D22" s="224"/>
      <c r="E22" s="224"/>
      <c r="F22" s="225"/>
      <c r="H22" s="9"/>
      <c r="N22" s="35" t="s">
        <v>41</v>
      </c>
      <c r="O22">
        <f>B19</f>
        <v>12.43</v>
      </c>
      <c r="P22" s="38">
        <f>C19</f>
        <v>13.84</v>
      </c>
    </row>
    <row r="23" spans="1:16" ht="15.75" thickBot="1">
      <c r="A23" s="2" t="s">
        <v>42</v>
      </c>
      <c r="B23" s="2" t="s">
        <v>43</v>
      </c>
      <c r="C23" s="3" t="s">
        <v>44</v>
      </c>
      <c r="D23" s="3" t="s">
        <v>45</v>
      </c>
      <c r="E23" s="3" t="s">
        <v>46</v>
      </c>
      <c r="F23" s="3" t="s">
        <v>47</v>
      </c>
      <c r="G23" s="205" t="s">
        <v>48</v>
      </c>
      <c r="K23" s="1" t="s">
        <v>49</v>
      </c>
      <c r="L23" s="1" t="s">
        <v>50</v>
      </c>
      <c r="N23" s="45" t="s">
        <v>51</v>
      </c>
      <c r="O23" s="46">
        <v>4.2000000000000003E-2</v>
      </c>
      <c r="P23" s="47">
        <v>0.106</v>
      </c>
    </row>
    <row r="24" spans="1:16">
      <c r="A24" s="4" t="s">
        <v>52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06">
        <f>'Beam scan new'!B19*'Beam scan new'!C19/1000000</f>
        <v>1E-4</v>
      </c>
      <c r="J24" s="1" t="s">
        <v>53</v>
      </c>
      <c r="K24" s="1">
        <f>B19/512*1000</f>
        <v>24.27734375</v>
      </c>
      <c r="L24" s="1">
        <f>C19/512*1000</f>
        <v>27.03125</v>
      </c>
    </row>
    <row r="25" spans="1:16">
      <c r="A25" s="4" t="s">
        <v>54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06">
        <v>512</v>
      </c>
      <c r="H25" s="1" t="s">
        <v>55</v>
      </c>
      <c r="I25" s="1" t="s">
        <v>56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57</v>
      </c>
      <c r="N25" s="1" t="s">
        <v>28</v>
      </c>
      <c r="O25" s="1" t="s">
        <v>29</v>
      </c>
      <c r="P25" s="1" t="s">
        <v>58</v>
      </c>
    </row>
    <row r="26" spans="1:16">
      <c r="A26" s="136" t="s">
        <v>59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07">
        <f>'Beam scan new'!B19/G25/1000</f>
        <v>1.953125E-5</v>
      </c>
      <c r="H26" s="1">
        <f>G26*1000000</f>
        <v>19.53125</v>
      </c>
      <c r="I26" s="1">
        <f>1000/H26</f>
        <v>51.2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>
      <c r="A27" s="136" t="s">
        <v>60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07">
        <f>'Beam scan new'!C19/G25/1000</f>
        <v>1.953125E-5</v>
      </c>
      <c r="H27" s="1">
        <f>G27*1000000</f>
        <v>19.53125</v>
      </c>
      <c r="I27" s="1">
        <f>1000/H27</f>
        <v>51.2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51.2</v>
      </c>
      <c r="O27" s="1">
        <f t="shared" ref="O27:O40" si="10">$I$27*(M27-1)</f>
        <v>51.2</v>
      </c>
    </row>
    <row r="28" spans="1:16">
      <c r="A28" s="4" t="s">
        <v>61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06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102.4</v>
      </c>
      <c r="O28" s="1">
        <f t="shared" si="10"/>
        <v>102.4</v>
      </c>
    </row>
    <row r="29" spans="1:16">
      <c r="A29" s="4" t="s">
        <v>62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06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153.60000000000002</v>
      </c>
      <c r="O29" s="1">
        <f t="shared" si="10"/>
        <v>153.60000000000002</v>
      </c>
    </row>
    <row r="30" spans="1:16" ht="30">
      <c r="A30" s="135" t="s">
        <v>63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08">
        <f>'Beam scan new'!E7</f>
        <v>71471.471471471479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204.8</v>
      </c>
      <c r="O30" s="1">
        <f t="shared" si="10"/>
        <v>204.8</v>
      </c>
    </row>
    <row r="31" spans="1:16">
      <c r="A31" s="4" t="s">
        <v>64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08">
        <f t="shared" si="16"/>
        <v>2.0015139539702596E-2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256</v>
      </c>
      <c r="O31" s="1">
        <f t="shared" si="10"/>
        <v>256</v>
      </c>
    </row>
    <row r="32" spans="1:16">
      <c r="A32" s="136" t="s">
        <v>65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09">
        <f t="shared" si="18"/>
        <v>49.962179779779788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307.20000000000005</v>
      </c>
      <c r="O32" s="1">
        <f t="shared" si="10"/>
        <v>307.20000000000005</v>
      </c>
    </row>
    <row r="33" spans="1:16">
      <c r="A33" s="4" t="s">
        <v>66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06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358.40000000000003</v>
      </c>
      <c r="O33" s="1">
        <f t="shared" si="10"/>
        <v>358.40000000000003</v>
      </c>
    </row>
    <row r="34" spans="1:16">
      <c r="A34" s="4" t="s">
        <v>67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06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409.6</v>
      </c>
      <c r="O34" s="1">
        <f t="shared" si="10"/>
        <v>409.6</v>
      </c>
    </row>
    <row r="35" spans="1:16">
      <c r="A35" s="4" t="s">
        <v>68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09">
        <f t="shared" si="19"/>
        <v>2127.3891665354495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460.8</v>
      </c>
      <c r="O35" s="1">
        <f t="shared" si="10"/>
        <v>460.8</v>
      </c>
    </row>
    <row r="36" spans="1:16" ht="15.75" thickBot="1">
      <c r="A36" s="5" t="s">
        <v>69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10">
        <f t="shared" si="22"/>
        <v>35.45648610892416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512</v>
      </c>
      <c r="O36" s="1">
        <f t="shared" si="10"/>
        <v>512</v>
      </c>
    </row>
    <row r="37" spans="1:16">
      <c r="A37" s="1" t="s">
        <v>70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563.20000000000005</v>
      </c>
      <c r="O37" s="1">
        <f t="shared" si="10"/>
        <v>563.20000000000005</v>
      </c>
    </row>
    <row r="38" spans="1:16">
      <c r="A38" s="1" t="s">
        <v>71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614.40000000000009</v>
      </c>
      <c r="O38" s="1">
        <f t="shared" si="10"/>
        <v>614.40000000000009</v>
      </c>
    </row>
    <row r="39" spans="1:16">
      <c r="A39" s="1" t="s">
        <v>72</v>
      </c>
      <c r="C39" s="145">
        <f>C30/C38</f>
        <v>343837.49999999994</v>
      </c>
      <c r="E39" s="146">
        <f>E30/E38</f>
        <v>198749.99999999997</v>
      </c>
      <c r="F39" s="146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665.6</v>
      </c>
      <c r="O39" s="1">
        <f t="shared" si="10"/>
        <v>665.6</v>
      </c>
    </row>
    <row r="40" spans="1:16">
      <c r="C40" s="1">
        <v>343837.49999999994</v>
      </c>
      <c r="M40" s="1">
        <v>15</v>
      </c>
      <c r="O40" s="1">
        <f t="shared" si="10"/>
        <v>716.80000000000007</v>
      </c>
    </row>
    <row r="41" spans="1:16" ht="15.75" thickBot="1"/>
    <row r="42" spans="1:16">
      <c r="J42" s="17"/>
      <c r="K42" s="1" t="s">
        <v>28</v>
      </c>
      <c r="L42" s="12" t="s">
        <v>29</v>
      </c>
    </row>
    <row r="43" spans="1:16">
      <c r="J43" s="18" t="s">
        <v>32</v>
      </c>
      <c r="K43" s="1">
        <v>15</v>
      </c>
      <c r="L43" s="12">
        <v>15</v>
      </c>
    </row>
    <row r="44" spans="1:16" ht="15.75" thickBot="1">
      <c r="J44" s="19" t="s">
        <v>35</v>
      </c>
      <c r="K44" s="6">
        <f>50/1000</f>
        <v>0.05</v>
      </c>
      <c r="L44" s="13">
        <f>300/1000</f>
        <v>0.3</v>
      </c>
      <c r="M44" s="216" t="s">
        <v>73</v>
      </c>
      <c r="N44" s="217"/>
      <c r="O44" s="54"/>
      <c r="P44" s="54"/>
    </row>
    <row r="45" spans="1:16">
      <c r="J45" s="1" t="s">
        <v>74</v>
      </c>
      <c r="K45" s="1" t="s">
        <v>75</v>
      </c>
      <c r="L45" s="1" t="s">
        <v>76</v>
      </c>
      <c r="M45" s="1" t="s">
        <v>28</v>
      </c>
      <c r="N45" s="1" t="s">
        <v>29</v>
      </c>
      <c r="O45" s="55" t="s">
        <v>77</v>
      </c>
    </row>
    <row r="46" spans="1:16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>
      <c r="A48" s="226" t="s">
        <v>78</v>
      </c>
      <c r="B48" s="224"/>
      <c r="C48" s="224"/>
      <c r="D48" s="224"/>
      <c r="E48" s="224"/>
      <c r="F48" s="225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>
      <c r="A49" s="2" t="s">
        <v>79</v>
      </c>
      <c r="B49" s="3" t="s">
        <v>80</v>
      </c>
      <c r="C49" s="3" t="s">
        <v>65</v>
      </c>
      <c r="D49" s="3" t="s">
        <v>81</v>
      </c>
      <c r="E49" s="3" t="s">
        <v>82</v>
      </c>
      <c r="F49" s="8" t="s">
        <v>83</v>
      </c>
      <c r="H49" s="1" t="s">
        <v>84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43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85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45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43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85</v>
      </c>
      <c r="H55" s="1">
        <f t="shared" si="30"/>
        <v>6</v>
      </c>
    </row>
    <row r="56" spans="1:15" ht="15.75" thickBot="1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45</v>
      </c>
      <c r="H56" s="1">
        <f t="shared" si="30"/>
        <v>7</v>
      </c>
    </row>
    <row r="57" spans="1:15">
      <c r="A57" s="4"/>
      <c r="C57" s="48"/>
      <c r="F57" s="12"/>
      <c r="H57" s="1">
        <f t="shared" si="30"/>
        <v>8</v>
      </c>
      <c r="J57" s="17"/>
      <c r="K57" s="1" t="s">
        <v>28</v>
      </c>
      <c r="L57" s="12" t="s">
        <v>29</v>
      </c>
    </row>
    <row r="58" spans="1:1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32</v>
      </c>
      <c r="K58" s="1">
        <v>10</v>
      </c>
      <c r="L58" s="12">
        <v>10</v>
      </c>
    </row>
    <row r="59" spans="1:15" ht="15.75" thickBot="1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35</v>
      </c>
      <c r="K59" s="6">
        <f>50/1000</f>
        <v>0.05</v>
      </c>
      <c r="L59" s="13">
        <f>300/1000</f>
        <v>0.3</v>
      </c>
      <c r="M59" s="216" t="s">
        <v>73</v>
      </c>
      <c r="N59" s="217"/>
    </row>
    <row r="60" spans="1:1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74</v>
      </c>
      <c r="K60" s="1" t="s">
        <v>75</v>
      </c>
      <c r="L60" s="1" t="s">
        <v>76</v>
      </c>
      <c r="M60" s="1" t="s">
        <v>28</v>
      </c>
      <c r="N60" s="1" t="s">
        <v>29</v>
      </c>
    </row>
    <row r="61" spans="1:1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28</v>
      </c>
      <c r="L72" s="12" t="s">
        <v>29</v>
      </c>
    </row>
    <row r="73" spans="1:14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32</v>
      </c>
      <c r="K73" s="1">
        <v>5</v>
      </c>
      <c r="L73" s="12">
        <v>5</v>
      </c>
    </row>
    <row r="74" spans="1:14" ht="15.75" thickBot="1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35</v>
      </c>
      <c r="K74" s="6">
        <f>50/1000</f>
        <v>0.05</v>
      </c>
      <c r="L74" s="13">
        <f>300/1000</f>
        <v>0.3</v>
      </c>
      <c r="M74" s="216" t="s">
        <v>73</v>
      </c>
      <c r="N74" s="217"/>
    </row>
    <row r="75" spans="1:14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74</v>
      </c>
      <c r="K75" s="1" t="s">
        <v>75</v>
      </c>
      <c r="L75" s="1" t="s">
        <v>76</v>
      </c>
      <c r="M75" s="1" t="s">
        <v>28</v>
      </c>
      <c r="N75" s="1" t="s">
        <v>29</v>
      </c>
    </row>
    <row r="76" spans="1:14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86</v>
      </c>
      <c r="J192" s="33" t="s">
        <v>87</v>
      </c>
      <c r="K192" s="32" t="s">
        <v>88</v>
      </c>
      <c r="L192" s="32" t="s">
        <v>89</v>
      </c>
      <c r="M192" s="32" t="s">
        <v>90</v>
      </c>
      <c r="N192" s="32" t="s">
        <v>91</v>
      </c>
      <c r="O192" s="32" t="s">
        <v>92</v>
      </c>
      <c r="P192" s="34" t="s">
        <v>93</v>
      </c>
    </row>
    <row r="193" spans="1:16" ht="15.75" thickTop="1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>
      <c r="A201" s="26" t="s">
        <v>94</v>
      </c>
      <c r="B201"/>
      <c r="C201"/>
      <c r="D201" s="27"/>
      <c r="E201"/>
      <c r="F201"/>
      <c r="G201"/>
      <c r="H201"/>
    </row>
    <row r="202" spans="1:16" ht="15.75" thickBot="1">
      <c r="A202" s="28"/>
      <c r="B202" s="28" t="s">
        <v>95</v>
      </c>
      <c r="C202" s="29" t="s">
        <v>96</v>
      </c>
      <c r="D202" s="30" t="s">
        <v>97</v>
      </c>
      <c r="E202" s="30" t="s">
        <v>98</v>
      </c>
      <c r="F202" s="30" t="s">
        <v>99</v>
      </c>
      <c r="G202" s="30" t="s">
        <v>65</v>
      </c>
      <c r="H202" s="31" t="s">
        <v>100</v>
      </c>
    </row>
    <row r="203" spans="1:16" ht="15.75" thickTop="1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1"/>
  <sheetViews>
    <sheetView zoomScale="70" zoomScaleNormal="70" workbookViewId="0">
      <selection activeCell="B63" sqref="B63"/>
    </sheetView>
  </sheetViews>
  <sheetFormatPr defaultRowHeight="1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bestFit="1" customWidth="1"/>
    <col min="25" max="25" width="6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2">
        <f>D3*0.16*6.38^2/(E3*F3*G3*H3*M3)</f>
        <v>9.362012</v>
      </c>
      <c r="K3" s="62">
        <f t="shared" ref="K3:K15" si="0">E3/857*1000</f>
        <v>2.3337222870478409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2">
        <f>D4*0.16*6.38^2/(E4*F4*G4*H4*M4)</f>
        <v>9.362012</v>
      </c>
      <c r="K4" s="62">
        <f t="shared" si="0"/>
        <v>2.3337222870478409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2">
        <f t="shared" ref="I5:I15" si="3">D5*0.16*6.38^2/(E5*F5*G5*H5*M5)</f>
        <v>8.3017841452991448</v>
      </c>
      <c r="K5" s="62">
        <f t="shared" si="0"/>
        <v>2.3337222870478409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2">
        <f>D6*0.16*6.38^2/(E6*F6*G6*H6*M6)</f>
        <v>8.3017841452991448</v>
      </c>
      <c r="K6" s="62">
        <f>E6/857*1000</f>
        <v>2.3337222870478409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2">
        <f t="shared" si="3"/>
        <v>8.543223057802253</v>
      </c>
      <c r="K7" s="62">
        <f>E7/857*1000</f>
        <v>2.3337222870478409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2">
        <f t="shared" si="3"/>
        <v>8.543223057802253</v>
      </c>
      <c r="K8" s="62">
        <f t="shared" si="0"/>
        <v>2.3337222870478409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2">
        <f t="shared" si="3"/>
        <v>12.406518778793712</v>
      </c>
      <c r="K9" s="62">
        <f t="shared" si="0"/>
        <v>2.3337222870478409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2">
        <f t="shared" si="3"/>
        <v>12.406518778793712</v>
      </c>
      <c r="K10" s="62">
        <f t="shared" si="0"/>
        <v>2.3337222870478409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2">
        <f t="shared" si="3"/>
        <v>9.1303384952161526</v>
      </c>
      <c r="K11" s="62">
        <f t="shared" si="0"/>
        <v>4.6674445740956818</v>
      </c>
      <c r="L11" s="62">
        <f t="shared" si="1"/>
        <v>184.61538461538461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2">
        <f t="shared" si="3"/>
        <v>9.1303384952161526</v>
      </c>
      <c r="K12" s="62">
        <f t="shared" si="0"/>
        <v>4.6674445740956818</v>
      </c>
      <c r="L12" s="62">
        <f t="shared" si="1"/>
        <v>184.61538461538461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2">
        <f t="shared" si="3"/>
        <v>0</v>
      </c>
      <c r="K13" s="62">
        <f t="shared" si="0"/>
        <v>1.1668611435239205</v>
      </c>
      <c r="L13" s="62">
        <f t="shared" si="1"/>
        <v>76.923076923076934</v>
      </c>
      <c r="M13" s="38">
        <v>1.5</v>
      </c>
      <c r="N13" s="38" t="s">
        <v>121</v>
      </c>
    </row>
    <row r="14" spans="1:30" thickBot="1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2">
        <f t="shared" si="3"/>
        <v>0</v>
      </c>
      <c r="K14" s="62">
        <f t="shared" si="0"/>
        <v>1.1668611435239205</v>
      </c>
      <c r="L14" s="62">
        <f t="shared" si="1"/>
        <v>76.923076923076934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4">
        <f t="shared" si="3"/>
        <v>0</v>
      </c>
      <c r="J15" s="46"/>
      <c r="K15" s="64">
        <f t="shared" si="0"/>
        <v>4.6674445740956818</v>
      </c>
      <c r="L15" s="64">
        <f t="shared" si="1"/>
        <v>230.76923076923077</v>
      </c>
      <c r="M15" s="47">
        <v>1.5</v>
      </c>
      <c r="N15" s="47" t="s">
        <v>123</v>
      </c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139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140">
        <f>4.95+0.5</f>
        <v>5.45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140">
        <f>2.85+0.5</f>
        <v>3.35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141">
        <f>P18+0.537</f>
        <v>-6.9630000000000001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1453518.3775955588</v>
      </c>
      <c r="F19" s="74">
        <f t="shared" ref="F19" si="8">E19*0.00000000016</f>
        <v>2.3256294041528938E-4</v>
      </c>
      <c r="G19" s="74">
        <f t="shared" ref="G19" si="9">D19*A19/F19</f>
        <v>1.2597396192052072E-3</v>
      </c>
      <c r="H19" s="75">
        <f t="shared" ref="H19" si="10">1/G19</f>
        <v>793.81483661752122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330.87690968234369</v>
      </c>
      <c r="M19" s="3" t="s">
        <v>141</v>
      </c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>
        <v>14.9</v>
      </c>
      <c r="P22" s="38">
        <v>15.85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 thickBot="1">
      <c r="D23"/>
      <c r="L23" s="40"/>
      <c r="N23" s="45" t="s">
        <v>51</v>
      </c>
      <c r="O23" s="46">
        <v>0.04</v>
      </c>
      <c r="P23" s="47">
        <v>0.2</v>
      </c>
      <c r="AB23"/>
      <c r="AC23"/>
      <c r="AD23"/>
    </row>
    <row r="24" spans="1:31" ht="14.45">
      <c r="H24" t="s">
        <v>142</v>
      </c>
      <c r="I24" t="s">
        <v>16</v>
      </c>
      <c r="L24" s="40"/>
    </row>
    <row r="25" spans="1:31" ht="14.45">
      <c r="A25" s="26" t="s">
        <v>143</v>
      </c>
      <c r="C25" t="s">
        <v>144</v>
      </c>
      <c r="D25" s="27" t="s">
        <v>145</v>
      </c>
      <c r="H25" s="27">
        <f>MAX(D3:D15)*1.6E-19</f>
        <v>2.3256294041528937E-13</v>
      </c>
      <c r="I25" s="76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thickBot="1">
      <c r="A27" s="26" t="s">
        <v>146</v>
      </c>
      <c r="D27" s="27" t="s">
        <v>147</v>
      </c>
      <c r="AB27"/>
      <c r="AC27"/>
      <c r="AD27"/>
    </row>
    <row r="28" spans="1:31" thickBot="1">
      <c r="A28" s="28"/>
      <c r="B28" s="28" t="s">
        <v>95</v>
      </c>
      <c r="C28" s="29" t="s">
        <v>96</v>
      </c>
      <c r="D28" s="30" t="s">
        <v>97</v>
      </c>
      <c r="E28" s="30" t="s">
        <v>98</v>
      </c>
      <c r="F28" s="30" t="s">
        <v>99</v>
      </c>
      <c r="G28" s="30" t="s">
        <v>65</v>
      </c>
      <c r="H28" s="31" t="s">
        <v>100</v>
      </c>
      <c r="I28" s="32" t="s">
        <v>86</v>
      </c>
      <c r="J28" s="33" t="s">
        <v>87</v>
      </c>
      <c r="K28" s="32" t="s">
        <v>88</v>
      </c>
      <c r="L28" s="32" t="s">
        <v>89</v>
      </c>
      <c r="M28" s="32" t="s">
        <v>90</v>
      </c>
      <c r="N28" s="138" t="s">
        <v>148</v>
      </c>
      <c r="O28" s="32" t="s">
        <v>149</v>
      </c>
      <c r="P28" s="137" t="s">
        <v>150</v>
      </c>
      <c r="Q28" s="27" t="s">
        <v>151</v>
      </c>
      <c r="R28" s="27" t="s">
        <v>152</v>
      </c>
      <c r="S28" s="27" t="s">
        <v>153</v>
      </c>
      <c r="T28" s="39" t="s">
        <v>154</v>
      </c>
      <c r="U28" s="1" t="s">
        <v>72</v>
      </c>
      <c r="V28" t="s">
        <v>154</v>
      </c>
      <c r="W28" s="27" t="s">
        <v>72</v>
      </c>
      <c r="AB28"/>
      <c r="AC28"/>
      <c r="AD28"/>
    </row>
    <row r="29" spans="1:31" thickTop="1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7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2">
        <f>N29/T29</f>
        <v>37500.000000000007</v>
      </c>
      <c r="V29" s="39">
        <v>77.520980138429792</v>
      </c>
      <c r="W29" s="27">
        <v>37500.000000000007</v>
      </c>
      <c r="X29">
        <f>T29-V29</f>
        <v>0</v>
      </c>
      <c r="Y29">
        <f>U29-W29</f>
        <v>0</v>
      </c>
      <c r="AB29"/>
      <c r="AC29"/>
      <c r="AD29"/>
    </row>
    <row r="30" spans="1:31" ht="14.45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7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2">
        <f t="shared" ref="U30:U93" si="21">N30/T30</f>
        <v>75000.000000000015</v>
      </c>
      <c r="V30" s="39">
        <v>38.760490069214896</v>
      </c>
      <c r="W30" s="27">
        <v>75000.000000000015</v>
      </c>
      <c r="X30">
        <f t="shared" ref="X30:X93" si="22">T30-V30</f>
        <v>0</v>
      </c>
      <c r="Y30">
        <f t="shared" ref="Y30:Y93" si="23">U30-W30</f>
        <v>0</v>
      </c>
      <c r="AB30"/>
      <c r="AC30"/>
      <c r="AD30"/>
    </row>
    <row r="31" spans="1:31" ht="14.45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7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2">
        <f t="shared" si="21"/>
        <v>112500.00000000001</v>
      </c>
      <c r="V31" s="39">
        <v>25.840326712809929</v>
      </c>
      <c r="W31" s="27">
        <v>112500.00000000001</v>
      </c>
      <c r="X31">
        <f t="shared" si="22"/>
        <v>0</v>
      </c>
      <c r="Y31">
        <f t="shared" si="23"/>
        <v>0</v>
      </c>
      <c r="AB31"/>
      <c r="AC31"/>
      <c r="AD31"/>
    </row>
    <row r="32" spans="1:31" ht="14.45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78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3">
        <f t="shared" si="21"/>
        <v>150000.00000000003</v>
      </c>
      <c r="V32" s="39">
        <v>19.380245034607448</v>
      </c>
      <c r="W32" s="27">
        <v>150000.00000000003</v>
      </c>
      <c r="X32">
        <f t="shared" si="22"/>
        <v>0</v>
      </c>
      <c r="Y32">
        <f t="shared" si="23"/>
        <v>0</v>
      </c>
      <c r="AB32"/>
      <c r="AC32"/>
      <c r="AD32"/>
    </row>
    <row r="33" spans="1:30" ht="14.45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78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3">
        <f t="shared" si="21"/>
        <v>187500.00000000003</v>
      </c>
      <c r="V33" s="39">
        <v>15.504196027685959</v>
      </c>
      <c r="W33" s="27">
        <v>187500.00000000003</v>
      </c>
      <c r="X33">
        <f t="shared" si="22"/>
        <v>0</v>
      </c>
      <c r="Y33">
        <f t="shared" si="23"/>
        <v>0</v>
      </c>
      <c r="AB33"/>
      <c r="AC33"/>
      <c r="AD33"/>
    </row>
    <row r="34" spans="1:30" ht="14.45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78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3">
        <f t="shared" si="21"/>
        <v>225000.00000000003</v>
      </c>
      <c r="V34" s="39">
        <v>12.920163356404965</v>
      </c>
      <c r="W34" s="27">
        <v>225000.00000000003</v>
      </c>
      <c r="X34">
        <f t="shared" si="22"/>
        <v>0</v>
      </c>
      <c r="Y34">
        <f t="shared" si="23"/>
        <v>0</v>
      </c>
      <c r="AB34"/>
      <c r="AC34"/>
      <c r="AD34"/>
    </row>
    <row r="35" spans="1:30" ht="14.45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78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3">
        <f t="shared" si="21"/>
        <v>262500.00000000006</v>
      </c>
      <c r="V35" s="39">
        <v>11.074425734061398</v>
      </c>
      <c r="W35" s="27">
        <v>262500.00000000006</v>
      </c>
      <c r="X35">
        <f t="shared" si="22"/>
        <v>0</v>
      </c>
      <c r="Y35">
        <f t="shared" si="23"/>
        <v>0</v>
      </c>
      <c r="AB35"/>
      <c r="AC35"/>
      <c r="AD35"/>
    </row>
    <row r="36" spans="1:30" ht="14.45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79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4">
        <f t="shared" si="21"/>
        <v>300000.00000000006</v>
      </c>
      <c r="V36" s="39">
        <v>9.690122517303724</v>
      </c>
      <c r="W36" s="27">
        <v>300000.00000000006</v>
      </c>
      <c r="X36">
        <f t="shared" si="22"/>
        <v>0</v>
      </c>
      <c r="Y36">
        <f t="shared" si="23"/>
        <v>0</v>
      </c>
      <c r="AB36"/>
      <c r="AC36"/>
      <c r="AD36"/>
    </row>
    <row r="37" spans="1:30" ht="14.45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79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4">
        <f t="shared" si="21"/>
        <v>337500.00000000012</v>
      </c>
      <c r="V37" s="39">
        <v>8.6134422376033086</v>
      </c>
      <c r="W37" s="27">
        <v>337500.00000000012</v>
      </c>
      <c r="X37">
        <f t="shared" si="22"/>
        <v>0</v>
      </c>
      <c r="Y37">
        <f t="shared" si="23"/>
        <v>0</v>
      </c>
      <c r="AB37"/>
      <c r="AC37"/>
      <c r="AD37"/>
    </row>
    <row r="38" spans="1:30" ht="14.45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79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4">
        <f t="shared" si="21"/>
        <v>375000.00000000006</v>
      </c>
      <c r="V38" s="39">
        <v>7.7520980138429794</v>
      </c>
      <c r="W38" s="27">
        <v>375000.00000000006</v>
      </c>
      <c r="X38">
        <f t="shared" si="22"/>
        <v>0</v>
      </c>
      <c r="Y38">
        <f t="shared" si="23"/>
        <v>0</v>
      </c>
      <c r="AB38"/>
      <c r="AC38"/>
      <c r="AD38"/>
    </row>
    <row r="39" spans="1:30" ht="14.45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79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4">
        <f t="shared" si="21"/>
        <v>412500.00000000006</v>
      </c>
      <c r="V39" s="39">
        <v>7.0473618307663441</v>
      </c>
      <c r="W39" s="27">
        <v>412500.00000000006</v>
      </c>
      <c r="X39">
        <f t="shared" si="22"/>
        <v>0</v>
      </c>
      <c r="Y39">
        <f t="shared" si="23"/>
        <v>0</v>
      </c>
      <c r="AB39"/>
      <c r="AC39"/>
      <c r="AD39"/>
    </row>
    <row r="40" spans="1:30" ht="14.45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79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4">
        <f t="shared" si="21"/>
        <v>450000.00000000006</v>
      </c>
      <c r="V40" s="39">
        <v>6.4600816782024824</v>
      </c>
      <c r="W40" s="27">
        <v>450000.00000000006</v>
      </c>
      <c r="X40">
        <f t="shared" si="22"/>
        <v>0</v>
      </c>
      <c r="Y40">
        <f t="shared" si="23"/>
        <v>0</v>
      </c>
      <c r="AB40"/>
      <c r="AC40"/>
      <c r="AD40"/>
    </row>
    <row r="41" spans="1:30" ht="14.45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27">
        <v>487500.00000000017</v>
      </c>
      <c r="AB41"/>
      <c r="AC41"/>
      <c r="AD41"/>
    </row>
    <row r="42" spans="1:30" ht="14.45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27">
        <v>525000.00000000012</v>
      </c>
      <c r="AB42"/>
      <c r="AC42"/>
      <c r="AD42"/>
    </row>
    <row r="43" spans="1:30" ht="14.45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27">
        <v>562500</v>
      </c>
      <c r="AB43"/>
      <c r="AC43"/>
      <c r="AD43"/>
    </row>
    <row r="44" spans="1:30" ht="14.45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27">
        <v>600000.00000000012</v>
      </c>
      <c r="AB44"/>
      <c r="AC44"/>
      <c r="AD44"/>
    </row>
    <row r="45" spans="1:30" ht="14.45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27">
        <v>637500.00000000012</v>
      </c>
      <c r="AB45"/>
      <c r="AC45"/>
      <c r="AD45"/>
    </row>
    <row r="46" spans="1:30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27">
        <v>675000.00000000023</v>
      </c>
      <c r="AB46"/>
      <c r="AC46"/>
      <c r="AD46"/>
    </row>
    <row r="47" spans="1:30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27">
        <v>712500.00000000012</v>
      </c>
      <c r="AB47"/>
      <c r="AC47"/>
      <c r="AD47"/>
    </row>
    <row r="48" spans="1:30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27">
        <v>750000.00000000012</v>
      </c>
      <c r="AB48"/>
      <c r="AC48"/>
      <c r="AD48"/>
    </row>
    <row r="49" spans="1:30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27">
        <v>787500.00000000012</v>
      </c>
      <c r="AB49"/>
      <c r="AC49"/>
      <c r="AD49"/>
    </row>
    <row r="50" spans="1:30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27">
        <v>825000.00000000012</v>
      </c>
      <c r="AB50"/>
      <c r="AC50"/>
      <c r="AD50"/>
    </row>
    <row r="51" spans="1:30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27">
        <v>862500</v>
      </c>
      <c r="AB51"/>
      <c r="AC51"/>
      <c r="AD51"/>
    </row>
    <row r="52" spans="1:30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27">
        <v>900000.00000000012</v>
      </c>
      <c r="AB52"/>
      <c r="AC52"/>
      <c r="AD52"/>
    </row>
    <row r="53" spans="1:30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27">
        <v>937500.00000000012</v>
      </c>
      <c r="AB53"/>
      <c r="AC53"/>
      <c r="AD53"/>
    </row>
    <row r="54" spans="1:30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27">
        <v>975000.00000000035</v>
      </c>
      <c r="AB54"/>
      <c r="AC54"/>
      <c r="AD54"/>
    </row>
    <row r="55" spans="1:30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27">
        <v>1012500.0000000002</v>
      </c>
      <c r="AB55"/>
      <c r="AC55"/>
      <c r="AD55"/>
    </row>
    <row r="56" spans="1:30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27">
        <v>1050000.0000000002</v>
      </c>
      <c r="AB56"/>
      <c r="AC56"/>
      <c r="AD56"/>
    </row>
    <row r="57" spans="1:30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27">
        <v>1087500.0000000002</v>
      </c>
      <c r="AB57"/>
      <c r="AC57"/>
      <c r="AD57"/>
    </row>
    <row r="58" spans="1:30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27">
        <v>1125000</v>
      </c>
      <c r="AB58"/>
      <c r="AC58"/>
      <c r="AD58"/>
    </row>
    <row r="59" spans="1:30">
      <c r="A59" s="80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7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2">
        <f t="shared" si="21"/>
        <v>37500.000000000007</v>
      </c>
      <c r="V59" s="39">
        <v>77.520980138429792</v>
      </c>
      <c r="W59" s="27">
        <v>37500.000000000007</v>
      </c>
      <c r="X59">
        <f t="shared" si="22"/>
        <v>0</v>
      </c>
      <c r="Y59">
        <f t="shared" si="23"/>
        <v>0</v>
      </c>
      <c r="AB59"/>
      <c r="AC59"/>
      <c r="AD59"/>
    </row>
    <row r="60" spans="1:30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7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2">
        <f t="shared" si="21"/>
        <v>75000.000000000015</v>
      </c>
      <c r="V60" s="39">
        <v>38.760490069214896</v>
      </c>
      <c r="W60" s="27">
        <v>75000.000000000015</v>
      </c>
      <c r="X60">
        <f t="shared" si="22"/>
        <v>0</v>
      </c>
      <c r="Y60">
        <f t="shared" si="23"/>
        <v>0</v>
      </c>
      <c r="AB60"/>
      <c r="AC60"/>
      <c r="AD60"/>
    </row>
    <row r="61" spans="1:30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7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2">
        <f t="shared" si="21"/>
        <v>112500.00000000001</v>
      </c>
      <c r="V61" s="39">
        <v>25.840326712809929</v>
      </c>
      <c r="W61" s="27">
        <v>112500.00000000001</v>
      </c>
      <c r="X61">
        <f t="shared" si="22"/>
        <v>0</v>
      </c>
      <c r="Y61">
        <f t="shared" si="23"/>
        <v>0</v>
      </c>
      <c r="AB61"/>
      <c r="AC61"/>
      <c r="AD61"/>
    </row>
    <row r="62" spans="1:30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78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3">
        <f t="shared" si="21"/>
        <v>150000.00000000003</v>
      </c>
      <c r="V62" s="39">
        <v>19.380245034607448</v>
      </c>
      <c r="W62" s="27">
        <v>150000.00000000003</v>
      </c>
      <c r="X62">
        <f t="shared" si="22"/>
        <v>0</v>
      </c>
      <c r="Y62">
        <f t="shared" si="23"/>
        <v>0</v>
      </c>
      <c r="AB62"/>
      <c r="AC62"/>
      <c r="AD62"/>
    </row>
    <row r="63" spans="1:30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78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3">
        <f t="shared" si="21"/>
        <v>187500.00000000003</v>
      </c>
      <c r="V63" s="39">
        <v>15.504196027685959</v>
      </c>
      <c r="W63" s="27">
        <v>187500.00000000003</v>
      </c>
      <c r="X63">
        <f t="shared" si="22"/>
        <v>0</v>
      </c>
      <c r="Y63">
        <f t="shared" si="23"/>
        <v>0</v>
      </c>
      <c r="AB63"/>
      <c r="AC63"/>
      <c r="AD63"/>
    </row>
    <row r="64" spans="1:30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78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3">
        <f t="shared" si="21"/>
        <v>225000.00000000003</v>
      </c>
      <c r="V64" s="39">
        <v>12.920163356404965</v>
      </c>
      <c r="W64" s="27">
        <v>225000.00000000003</v>
      </c>
      <c r="X64">
        <f t="shared" si="22"/>
        <v>0</v>
      </c>
      <c r="Y64">
        <f t="shared" si="23"/>
        <v>0</v>
      </c>
      <c r="AB64"/>
      <c r="AC64"/>
      <c r="AD64"/>
    </row>
    <row r="65" spans="1:30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79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4">
        <f t="shared" si="21"/>
        <v>262500.00000000006</v>
      </c>
      <c r="V65" s="39">
        <v>11.074425734061398</v>
      </c>
      <c r="W65" s="27">
        <v>262500.00000000006</v>
      </c>
      <c r="X65">
        <f t="shared" si="22"/>
        <v>0</v>
      </c>
      <c r="Y65">
        <f t="shared" si="23"/>
        <v>0</v>
      </c>
      <c r="AB65"/>
      <c r="AC65"/>
      <c r="AD65"/>
    </row>
    <row r="66" spans="1:30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79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4">
        <f t="shared" si="21"/>
        <v>300000.00000000006</v>
      </c>
      <c r="V66" s="39">
        <v>9.690122517303724</v>
      </c>
      <c r="W66" s="27">
        <v>300000.00000000006</v>
      </c>
      <c r="X66">
        <f t="shared" si="22"/>
        <v>0</v>
      </c>
      <c r="Y66">
        <f t="shared" si="23"/>
        <v>0</v>
      </c>
      <c r="AB66"/>
      <c r="AC66"/>
      <c r="AD66"/>
    </row>
    <row r="67" spans="1:30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79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4">
        <f t="shared" si="21"/>
        <v>337500.00000000012</v>
      </c>
      <c r="V67" s="39">
        <v>8.6134422376033086</v>
      </c>
      <c r="W67" s="27">
        <v>337500.00000000012</v>
      </c>
      <c r="X67">
        <f t="shared" si="22"/>
        <v>0</v>
      </c>
      <c r="Y67">
        <f t="shared" si="23"/>
        <v>0</v>
      </c>
      <c r="AB67"/>
      <c r="AC67"/>
      <c r="AD67"/>
    </row>
    <row r="68" spans="1:30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79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4">
        <f t="shared" si="21"/>
        <v>375000.00000000006</v>
      </c>
      <c r="V68" s="39">
        <v>7.7520980138429794</v>
      </c>
      <c r="W68" s="27">
        <v>375000.00000000006</v>
      </c>
      <c r="X68">
        <f t="shared" si="22"/>
        <v>0</v>
      </c>
      <c r="Y68">
        <f t="shared" si="23"/>
        <v>0</v>
      </c>
      <c r="AB68"/>
      <c r="AC68"/>
      <c r="AD68"/>
    </row>
    <row r="69" spans="1:30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79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4">
        <f t="shared" si="21"/>
        <v>412500.00000000006</v>
      </c>
      <c r="V69" s="39">
        <v>7.0473618307663441</v>
      </c>
      <c r="W69" s="27">
        <v>412500.00000000006</v>
      </c>
      <c r="X69">
        <f t="shared" si="22"/>
        <v>0</v>
      </c>
      <c r="Y69">
        <f t="shared" si="23"/>
        <v>0</v>
      </c>
      <c r="AB69"/>
      <c r="AC69"/>
      <c r="AD69"/>
    </row>
    <row r="70" spans="1:30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79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4">
        <f t="shared" si="21"/>
        <v>450000.00000000006</v>
      </c>
      <c r="V70" s="39">
        <v>6.4600816782024824</v>
      </c>
      <c r="W70" s="27">
        <v>450000.00000000006</v>
      </c>
      <c r="X70">
        <f t="shared" si="22"/>
        <v>0</v>
      </c>
      <c r="Y70">
        <f t="shared" si="23"/>
        <v>0</v>
      </c>
      <c r="AB70"/>
      <c r="AC70"/>
      <c r="AD70"/>
    </row>
    <row r="71" spans="1:30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79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4">
        <f t="shared" si="21"/>
        <v>487500.00000000017</v>
      </c>
      <c r="V71" s="39">
        <v>5.963152318340752</v>
      </c>
      <c r="W71" s="27">
        <v>487500.00000000017</v>
      </c>
      <c r="X71">
        <f t="shared" si="22"/>
        <v>0</v>
      </c>
      <c r="Y71">
        <f t="shared" si="23"/>
        <v>0</v>
      </c>
      <c r="AB71"/>
      <c r="AC71"/>
      <c r="AD71"/>
    </row>
    <row r="72" spans="1:30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79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4">
        <f t="shared" si="21"/>
        <v>525000.00000000012</v>
      </c>
      <c r="V72" s="39">
        <v>5.537212867030699</v>
      </c>
      <c r="W72" s="27">
        <v>525000.00000000012</v>
      </c>
      <c r="X72">
        <f t="shared" si="22"/>
        <v>0</v>
      </c>
      <c r="Y72">
        <f t="shared" si="23"/>
        <v>0</v>
      </c>
      <c r="AB72"/>
      <c r="AC72"/>
      <c r="AD72"/>
    </row>
    <row r="73" spans="1:30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79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4">
        <f t="shared" si="21"/>
        <v>562500.00000000012</v>
      </c>
      <c r="V73" s="39">
        <v>5.1680653425619862</v>
      </c>
      <c r="W73" s="27">
        <v>562500</v>
      </c>
      <c r="X73">
        <f t="shared" si="22"/>
        <v>0</v>
      </c>
      <c r="Y73">
        <f t="shared" si="23"/>
        <v>0</v>
      </c>
      <c r="AB73"/>
      <c r="AC73"/>
      <c r="AD73"/>
    </row>
    <row r="74" spans="1:30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79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4">
        <f t="shared" si="21"/>
        <v>600000.00000000012</v>
      </c>
      <c r="V74" s="39">
        <v>4.845061258651862</v>
      </c>
      <c r="W74" s="27">
        <v>600000.00000000012</v>
      </c>
      <c r="X74">
        <f t="shared" si="22"/>
        <v>0</v>
      </c>
      <c r="Y74">
        <f t="shared" si="23"/>
        <v>0</v>
      </c>
      <c r="AB74"/>
      <c r="AC74"/>
      <c r="AD74"/>
    </row>
    <row r="75" spans="1:30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79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4">
        <f t="shared" si="21"/>
        <v>637500.00000000012</v>
      </c>
      <c r="V75" s="39">
        <v>4.560057655201752</v>
      </c>
      <c r="W75" s="27">
        <v>637500.00000000012</v>
      </c>
      <c r="X75">
        <f t="shared" si="22"/>
        <v>0</v>
      </c>
      <c r="Y75">
        <f t="shared" si="23"/>
        <v>0</v>
      </c>
      <c r="AB75"/>
      <c r="AC75"/>
      <c r="AD75"/>
    </row>
    <row r="76" spans="1:30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79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4">
        <f t="shared" si="21"/>
        <v>675000.00000000023</v>
      </c>
      <c r="V76" s="39">
        <v>4.3067211188016543</v>
      </c>
      <c r="W76" s="27">
        <v>675000.00000000023</v>
      </c>
      <c r="X76">
        <f t="shared" si="22"/>
        <v>0</v>
      </c>
      <c r="Y76">
        <f t="shared" si="23"/>
        <v>0</v>
      </c>
      <c r="AB76"/>
      <c r="AC76"/>
      <c r="AD76"/>
    </row>
    <row r="77" spans="1:30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79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4">
        <f t="shared" si="21"/>
        <v>712500.00000000012</v>
      </c>
      <c r="V77" s="39">
        <v>4.0800515862331466</v>
      </c>
      <c r="W77" s="27">
        <v>712500.00000000012</v>
      </c>
      <c r="X77">
        <f t="shared" si="22"/>
        <v>0</v>
      </c>
      <c r="Y77">
        <f t="shared" si="23"/>
        <v>0</v>
      </c>
      <c r="AB77"/>
      <c r="AC77"/>
      <c r="AD77"/>
    </row>
    <row r="78" spans="1:30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79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4">
        <f t="shared" si="21"/>
        <v>750000.00000000012</v>
      </c>
      <c r="V78" s="39">
        <v>3.8760490069214897</v>
      </c>
      <c r="W78" s="27">
        <v>750000.00000000012</v>
      </c>
      <c r="X78">
        <f t="shared" si="22"/>
        <v>0</v>
      </c>
      <c r="Y78">
        <f t="shared" si="23"/>
        <v>0</v>
      </c>
      <c r="AB78"/>
      <c r="AC78"/>
      <c r="AD78"/>
    </row>
    <row r="79" spans="1:30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79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4">
        <f t="shared" si="21"/>
        <v>787500.00000000023</v>
      </c>
      <c r="V79" s="39">
        <v>3.6914752446871328</v>
      </c>
      <c r="W79" s="27">
        <v>787500.00000000012</v>
      </c>
      <c r="X79">
        <f t="shared" si="22"/>
        <v>0</v>
      </c>
      <c r="Y79">
        <f t="shared" si="23"/>
        <v>0</v>
      </c>
      <c r="AB79"/>
      <c r="AC79"/>
      <c r="AD79"/>
    </row>
    <row r="80" spans="1:30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27">
        <v>825000.00000000012</v>
      </c>
      <c r="AB80"/>
      <c r="AC80"/>
      <c r="AD80"/>
    </row>
    <row r="81" spans="1:30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79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4">
        <f t="shared" si="21"/>
        <v>862500</v>
      </c>
      <c r="V81" s="39">
        <v>3.3704773973230346</v>
      </c>
      <c r="W81" s="27">
        <v>862500</v>
      </c>
      <c r="X81">
        <f t="shared" si="22"/>
        <v>0</v>
      </c>
      <c r="Y81">
        <f t="shared" si="23"/>
        <v>0</v>
      </c>
      <c r="AB81"/>
      <c r="AC81"/>
      <c r="AD81"/>
    </row>
    <row r="82" spans="1:30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79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4">
        <f t="shared" si="21"/>
        <v>900000.00000000012</v>
      </c>
      <c r="V82" s="39">
        <v>3.2300408391012412</v>
      </c>
      <c r="W82" s="27">
        <v>900000.00000000012</v>
      </c>
      <c r="X82">
        <f t="shared" si="22"/>
        <v>0</v>
      </c>
      <c r="Y82">
        <f t="shared" si="23"/>
        <v>0</v>
      </c>
      <c r="AB82"/>
      <c r="AC82"/>
      <c r="AD82"/>
    </row>
    <row r="83" spans="1:30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79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4">
        <f t="shared" si="21"/>
        <v>937500.00000000012</v>
      </c>
      <c r="V83" s="39">
        <v>3.1008392055371918</v>
      </c>
      <c r="W83" s="27">
        <v>937500.00000000012</v>
      </c>
      <c r="X83">
        <f t="shared" si="22"/>
        <v>0</v>
      </c>
      <c r="Y83">
        <f t="shared" si="23"/>
        <v>0</v>
      </c>
      <c r="AB83"/>
      <c r="AC83"/>
      <c r="AD83"/>
    </row>
    <row r="84" spans="1:30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79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4">
        <f t="shared" si="21"/>
        <v>975000.00000000035</v>
      </c>
      <c r="V84" s="39">
        <v>2.981576159170376</v>
      </c>
      <c r="W84" s="27">
        <v>975000.00000000035</v>
      </c>
      <c r="X84">
        <f t="shared" si="22"/>
        <v>0</v>
      </c>
      <c r="Y84">
        <f t="shared" si="23"/>
        <v>0</v>
      </c>
      <c r="AB84"/>
      <c r="AC84"/>
      <c r="AD84"/>
    </row>
    <row r="85" spans="1:30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79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4">
        <f t="shared" si="21"/>
        <v>1012500.0000000003</v>
      </c>
      <c r="V85" s="39">
        <v>2.8711474125344365</v>
      </c>
      <c r="W85" s="27">
        <v>1012500.0000000002</v>
      </c>
      <c r="X85">
        <f t="shared" si="22"/>
        <v>0</v>
      </c>
      <c r="Y85">
        <f t="shared" si="23"/>
        <v>0</v>
      </c>
      <c r="AB85"/>
      <c r="AC85"/>
      <c r="AD85"/>
    </row>
    <row r="86" spans="1:30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79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4">
        <f t="shared" si="21"/>
        <v>1050000.0000000002</v>
      </c>
      <c r="V86" s="39">
        <v>2.7686064335153495</v>
      </c>
      <c r="W86" s="27">
        <v>1050000.0000000002</v>
      </c>
      <c r="X86">
        <f t="shared" si="22"/>
        <v>0</v>
      </c>
      <c r="Y86">
        <f t="shared" si="23"/>
        <v>0</v>
      </c>
      <c r="AB86"/>
      <c r="AC86"/>
      <c r="AD86"/>
    </row>
    <row r="87" spans="1:30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79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4">
        <f t="shared" si="21"/>
        <v>1087500.0000000002</v>
      </c>
      <c r="V87" s="39">
        <v>2.6731372461527512</v>
      </c>
      <c r="W87" s="27">
        <v>1087500.0000000002</v>
      </c>
      <c r="X87">
        <f t="shared" si="22"/>
        <v>0</v>
      </c>
      <c r="Y87">
        <f t="shared" si="23"/>
        <v>0</v>
      </c>
      <c r="AB87"/>
      <c r="AC87"/>
      <c r="AD87"/>
    </row>
    <row r="88" spans="1:30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79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4">
        <f t="shared" si="21"/>
        <v>1125000.0000000002</v>
      </c>
      <c r="V88" s="39">
        <v>2.5840326712809931</v>
      </c>
      <c r="W88" s="27">
        <v>1125000</v>
      </c>
      <c r="X88">
        <f t="shared" si="22"/>
        <v>0</v>
      </c>
      <c r="Y88">
        <f t="shared" si="23"/>
        <v>0</v>
      </c>
      <c r="AB88"/>
      <c r="AC88"/>
      <c r="AD88"/>
    </row>
    <row r="89" spans="1:30">
      <c r="A89" s="40"/>
      <c r="B89" s="39"/>
      <c r="C89" s="39"/>
      <c r="D89"/>
      <c r="U89" s="27"/>
      <c r="V89" s="39"/>
      <c r="AB89"/>
      <c r="AC89"/>
      <c r="AD89"/>
    </row>
    <row r="90" spans="1:30" ht="15.75" thickBot="1">
      <c r="A90" s="26" t="s">
        <v>94</v>
      </c>
      <c r="U90" s="27"/>
      <c r="V90" s="39"/>
      <c r="AB90"/>
      <c r="AC90"/>
      <c r="AD90"/>
    </row>
    <row r="91" spans="1:30" ht="15.75" thickBot="1">
      <c r="A91" s="28"/>
      <c r="B91" s="28" t="s">
        <v>95</v>
      </c>
      <c r="C91" s="29" t="s">
        <v>96</v>
      </c>
      <c r="D91" s="30" t="s">
        <v>97</v>
      </c>
      <c r="E91" s="30" t="s">
        <v>98</v>
      </c>
      <c r="F91" s="30" t="s">
        <v>99</v>
      </c>
      <c r="G91" s="30" t="s">
        <v>65</v>
      </c>
      <c r="H91" s="31" t="s">
        <v>100</v>
      </c>
      <c r="I91" s="32" t="s">
        <v>86</v>
      </c>
      <c r="J91" s="33" t="s">
        <v>87</v>
      </c>
      <c r="K91" s="32" t="s">
        <v>88</v>
      </c>
      <c r="L91" s="32" t="s">
        <v>89</v>
      </c>
      <c r="M91" s="32" t="s">
        <v>90</v>
      </c>
      <c r="N91" s="32" t="s">
        <v>91</v>
      </c>
      <c r="O91" s="32" t="s">
        <v>92</v>
      </c>
      <c r="P91" s="34" t="s">
        <v>93</v>
      </c>
      <c r="R91" s="27" t="s">
        <v>152</v>
      </c>
      <c r="S91" s="27" t="s">
        <v>153</v>
      </c>
      <c r="U91" s="27"/>
      <c r="V91" s="39"/>
      <c r="AB91"/>
      <c r="AC91"/>
      <c r="AD91"/>
    </row>
    <row r="92" spans="1:30" ht="15.75" thickTop="1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27">
        <v>7500000.0000000009</v>
      </c>
      <c r="X92">
        <f t="shared" si="22"/>
        <v>0</v>
      </c>
      <c r="Y92">
        <f t="shared" si="23"/>
        <v>0</v>
      </c>
      <c r="AB92"/>
      <c r="AC92"/>
      <c r="AD92"/>
    </row>
    <row r="93" spans="1:30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27">
        <v>7500000.0000000009</v>
      </c>
      <c r="X93">
        <f t="shared" si="22"/>
        <v>0</v>
      </c>
      <c r="Y93">
        <f t="shared" si="23"/>
        <v>0</v>
      </c>
      <c r="AB93"/>
      <c r="AC93"/>
      <c r="AD93"/>
    </row>
    <row r="94" spans="1:30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27">
        <v>7500000.0000000009</v>
      </c>
      <c r="X94">
        <f t="shared" ref="X94:X157" si="160">T94-V94</f>
        <v>0</v>
      </c>
      <c r="Y94">
        <f t="shared" ref="Y94:Y157" si="161">U94-W94</f>
        <v>0</v>
      </c>
      <c r="AB94"/>
      <c r="AC94"/>
      <c r="AD94"/>
    </row>
    <row r="95" spans="1:30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27">
        <v>7500000.0000000009</v>
      </c>
      <c r="X95">
        <f t="shared" si="160"/>
        <v>0</v>
      </c>
      <c r="Y95">
        <f t="shared" si="161"/>
        <v>0</v>
      </c>
      <c r="AB95"/>
      <c r="AC95"/>
      <c r="AD95"/>
    </row>
    <row r="96" spans="1:30">
      <c r="A96" s="40"/>
      <c r="B96" s="39"/>
      <c r="C96" s="39"/>
      <c r="D96"/>
      <c r="Q96">
        <v>20000000.000000004</v>
      </c>
      <c r="U96" s="27"/>
      <c r="V96" s="39"/>
      <c r="AB96"/>
      <c r="AC96"/>
      <c r="AD96"/>
    </row>
    <row r="97" spans="1:30" ht="15.75" thickBot="1">
      <c r="A97" s="26" t="s">
        <v>146</v>
      </c>
      <c r="D97" s="27" t="s">
        <v>155</v>
      </c>
      <c r="Q97">
        <v>85000000.00000003</v>
      </c>
      <c r="U97" s="27"/>
      <c r="V97" s="39"/>
      <c r="AB97"/>
      <c r="AC97"/>
      <c r="AD97"/>
    </row>
    <row r="98" spans="1:30" ht="15.75" thickBot="1">
      <c r="A98" s="28"/>
      <c r="B98" s="28" t="s">
        <v>95</v>
      </c>
      <c r="C98" s="29" t="s">
        <v>96</v>
      </c>
      <c r="D98" s="30" t="s">
        <v>97</v>
      </c>
      <c r="E98" s="30" t="s">
        <v>98</v>
      </c>
      <c r="F98" s="30" t="s">
        <v>99</v>
      </c>
      <c r="G98" s="30" t="s">
        <v>65</v>
      </c>
      <c r="H98" s="31" t="s">
        <v>100</v>
      </c>
      <c r="I98" s="32" t="s">
        <v>86</v>
      </c>
      <c r="J98" s="33" t="s">
        <v>87</v>
      </c>
      <c r="K98" s="32" t="s">
        <v>88</v>
      </c>
      <c r="L98" s="32" t="s">
        <v>89</v>
      </c>
      <c r="M98" s="32" t="s">
        <v>90</v>
      </c>
      <c r="N98" s="32" t="s">
        <v>91</v>
      </c>
      <c r="O98" s="32" t="s">
        <v>92</v>
      </c>
      <c r="P98" s="34" t="s">
        <v>93</v>
      </c>
      <c r="Q98">
        <f>Q96/Q97</f>
        <v>0.23529411764705879</v>
      </c>
      <c r="R98" s="27" t="s">
        <v>152</v>
      </c>
      <c r="S98" s="27" t="s">
        <v>153</v>
      </c>
      <c r="U98" s="27"/>
      <c r="V98" s="39"/>
      <c r="AB98"/>
      <c r="AC98"/>
      <c r="AD98"/>
    </row>
    <row r="99" spans="1:30" ht="15.75" thickTop="1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1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4">
        <f t="shared" si="159"/>
        <v>1000000</v>
      </c>
      <c r="V99" s="39">
        <v>2.9070367551911169</v>
      </c>
      <c r="W99" s="27">
        <v>1000000.0000000002</v>
      </c>
      <c r="X99">
        <f t="shared" si="160"/>
        <v>0</v>
      </c>
      <c r="Y99">
        <f t="shared" si="161"/>
        <v>0</v>
      </c>
      <c r="AB99"/>
      <c r="AC99"/>
      <c r="AD99"/>
    </row>
    <row r="100" spans="1:30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2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2">
        <f t="shared" si="159"/>
        <v>75000.000000000015</v>
      </c>
      <c r="V100" s="39">
        <v>38.760490069214896</v>
      </c>
      <c r="W100" s="27">
        <v>75000.000000000015</v>
      </c>
      <c r="X100">
        <f t="shared" si="160"/>
        <v>0</v>
      </c>
      <c r="Y100">
        <f t="shared" si="161"/>
        <v>0</v>
      </c>
      <c r="AB100"/>
      <c r="AC100"/>
      <c r="AD100"/>
    </row>
    <row r="101" spans="1:30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2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2">
        <f t="shared" si="159"/>
        <v>112500</v>
      </c>
      <c r="V101" s="39">
        <v>25.840326712809929</v>
      </c>
      <c r="W101" s="27">
        <v>112500.00000000001</v>
      </c>
      <c r="X101">
        <f t="shared" si="160"/>
        <v>0</v>
      </c>
      <c r="Y101">
        <f t="shared" si="161"/>
        <v>0</v>
      </c>
      <c r="AB101"/>
      <c r="AC101"/>
      <c r="AD101"/>
    </row>
    <row r="102" spans="1:30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2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2">
        <f t="shared" si="159"/>
        <v>150000.00000000003</v>
      </c>
      <c r="V102" s="39">
        <v>19.380245034607448</v>
      </c>
      <c r="W102" s="27">
        <v>150000.00000000003</v>
      </c>
      <c r="X102">
        <f t="shared" si="160"/>
        <v>0</v>
      </c>
      <c r="Y102">
        <f t="shared" si="161"/>
        <v>0</v>
      </c>
      <c r="AB102"/>
      <c r="AC102"/>
      <c r="AD102"/>
    </row>
    <row r="103" spans="1:30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2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2">
        <f t="shared" si="159"/>
        <v>187500.00000000003</v>
      </c>
      <c r="V103" s="39">
        <v>15.504196027685959</v>
      </c>
      <c r="W103" s="27">
        <v>187500.00000000003</v>
      </c>
      <c r="X103">
        <f t="shared" si="160"/>
        <v>0</v>
      </c>
      <c r="Y103">
        <f t="shared" si="161"/>
        <v>0</v>
      </c>
      <c r="AB103"/>
      <c r="AC103"/>
      <c r="AD103"/>
    </row>
    <row r="104" spans="1:30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3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3">
        <f t="shared" si="159"/>
        <v>225000</v>
      </c>
      <c r="V104" s="39">
        <v>12.920163356404965</v>
      </c>
      <c r="W104" s="27">
        <v>225000.00000000003</v>
      </c>
      <c r="X104">
        <f t="shared" si="160"/>
        <v>0</v>
      </c>
      <c r="Y104">
        <f t="shared" si="161"/>
        <v>0</v>
      </c>
      <c r="AB104"/>
      <c r="AC104"/>
      <c r="AD104"/>
    </row>
    <row r="105" spans="1:30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3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3">
        <f t="shared" si="159"/>
        <v>262500.00000000006</v>
      </c>
      <c r="V105" s="39">
        <v>11.074425734061398</v>
      </c>
      <c r="W105" s="27">
        <v>262500.00000000006</v>
      </c>
      <c r="X105">
        <f t="shared" si="160"/>
        <v>0</v>
      </c>
      <c r="Y105">
        <f t="shared" si="161"/>
        <v>0</v>
      </c>
      <c r="AB105"/>
      <c r="AC105"/>
      <c r="AD105"/>
    </row>
    <row r="106" spans="1:30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3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3">
        <f t="shared" si="159"/>
        <v>300000.00000000006</v>
      </c>
      <c r="V106" s="39">
        <v>9.690122517303724</v>
      </c>
      <c r="W106" s="27">
        <v>300000.00000000006</v>
      </c>
      <c r="X106">
        <f t="shared" si="160"/>
        <v>0</v>
      </c>
      <c r="Y106">
        <f t="shared" si="161"/>
        <v>0</v>
      </c>
      <c r="AB106"/>
      <c r="AC106"/>
      <c r="AD106"/>
    </row>
    <row r="107" spans="1:30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3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3">
        <f t="shared" si="159"/>
        <v>337500.00000000012</v>
      </c>
      <c r="V107" s="39">
        <v>8.6134422376033086</v>
      </c>
      <c r="W107" s="27">
        <v>337500.00000000012</v>
      </c>
      <c r="X107">
        <f t="shared" si="160"/>
        <v>0</v>
      </c>
      <c r="Y107">
        <f t="shared" si="161"/>
        <v>0</v>
      </c>
      <c r="AB107"/>
      <c r="AC107"/>
      <c r="AD107"/>
    </row>
    <row r="108" spans="1:30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3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3">
        <f t="shared" si="159"/>
        <v>375000.00000000006</v>
      </c>
      <c r="V108" s="39">
        <v>7.7520980138429794</v>
      </c>
      <c r="W108" s="27">
        <v>375000.00000000006</v>
      </c>
      <c r="X108">
        <f t="shared" si="160"/>
        <v>0</v>
      </c>
      <c r="Y108">
        <f t="shared" si="161"/>
        <v>0</v>
      </c>
      <c r="AB108"/>
      <c r="AC108"/>
      <c r="AD108"/>
    </row>
    <row r="109" spans="1:30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3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3">
        <f t="shared" si="159"/>
        <v>412500</v>
      </c>
      <c r="V109" s="39">
        <v>7.0473618307663441</v>
      </c>
      <c r="W109" s="27">
        <v>412500.00000000006</v>
      </c>
      <c r="X109">
        <f t="shared" si="160"/>
        <v>0</v>
      </c>
      <c r="Y109">
        <f t="shared" si="161"/>
        <v>0</v>
      </c>
      <c r="AB109"/>
      <c r="AC109"/>
      <c r="AD109"/>
    </row>
    <row r="110" spans="1:30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1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4">
        <f t="shared" si="159"/>
        <v>450000</v>
      </c>
      <c r="V110" s="39">
        <v>6.4600816782024824</v>
      </c>
      <c r="W110" s="27">
        <v>450000.00000000006</v>
      </c>
      <c r="X110">
        <f t="shared" si="160"/>
        <v>0</v>
      </c>
      <c r="Y110">
        <f t="shared" si="161"/>
        <v>0</v>
      </c>
      <c r="AB110"/>
      <c r="AC110"/>
      <c r="AD110"/>
    </row>
    <row r="111" spans="1:30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1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4">
        <f t="shared" si="159"/>
        <v>487500</v>
      </c>
      <c r="V111" s="39">
        <v>5.963152318340752</v>
      </c>
      <c r="W111" s="27">
        <v>487500.00000000017</v>
      </c>
      <c r="X111">
        <f t="shared" si="160"/>
        <v>0</v>
      </c>
      <c r="Y111">
        <f t="shared" si="161"/>
        <v>0</v>
      </c>
      <c r="AB111"/>
      <c r="AC111"/>
      <c r="AD111"/>
    </row>
    <row r="112" spans="1:30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1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4">
        <f t="shared" si="159"/>
        <v>525000.00000000012</v>
      </c>
      <c r="V112" s="39">
        <v>5.537212867030699</v>
      </c>
      <c r="W112" s="27">
        <v>525000.00000000012</v>
      </c>
      <c r="X112">
        <f t="shared" si="160"/>
        <v>0</v>
      </c>
      <c r="Y112">
        <f t="shared" si="161"/>
        <v>0</v>
      </c>
      <c r="AB112"/>
      <c r="AC112"/>
      <c r="AD112"/>
    </row>
    <row r="113" spans="1:30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1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4">
        <f t="shared" si="159"/>
        <v>562500</v>
      </c>
      <c r="V113" s="39">
        <v>5.1680653425619862</v>
      </c>
      <c r="W113" s="27">
        <v>562500</v>
      </c>
      <c r="X113">
        <f t="shared" si="160"/>
        <v>0</v>
      </c>
      <c r="Y113">
        <f t="shared" si="161"/>
        <v>0</v>
      </c>
      <c r="AB113"/>
      <c r="AC113"/>
      <c r="AD113"/>
    </row>
    <row r="114" spans="1:30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1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4">
        <f t="shared" si="159"/>
        <v>600000.00000000012</v>
      </c>
      <c r="V114" s="39">
        <v>4.845061258651862</v>
      </c>
      <c r="W114" s="27">
        <v>600000.00000000012</v>
      </c>
      <c r="X114">
        <f t="shared" si="160"/>
        <v>0</v>
      </c>
      <c r="Y114">
        <f t="shared" si="161"/>
        <v>0</v>
      </c>
      <c r="AB114"/>
      <c r="AC114"/>
      <c r="AD114"/>
    </row>
    <row r="115" spans="1:30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1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4">
        <f t="shared" si="159"/>
        <v>637500</v>
      </c>
      <c r="V115" s="39">
        <v>4.560057655201752</v>
      </c>
      <c r="W115" s="27">
        <v>637500.00000000012</v>
      </c>
      <c r="X115">
        <f t="shared" si="160"/>
        <v>0</v>
      </c>
      <c r="Y115">
        <f t="shared" si="161"/>
        <v>0</v>
      </c>
      <c r="AB115"/>
      <c r="AC115"/>
      <c r="AD115"/>
    </row>
    <row r="116" spans="1:30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1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4">
        <f t="shared" si="159"/>
        <v>675000.00000000023</v>
      </c>
      <c r="V116" s="39">
        <v>4.3067211188016543</v>
      </c>
      <c r="W116" s="27">
        <v>675000.00000000023</v>
      </c>
      <c r="X116">
        <f t="shared" si="160"/>
        <v>0</v>
      </c>
      <c r="Y116">
        <f t="shared" si="161"/>
        <v>0</v>
      </c>
      <c r="AB116"/>
      <c r="AC116"/>
      <c r="AD116"/>
    </row>
    <row r="117" spans="1:30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1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4">
        <f t="shared" si="159"/>
        <v>712500</v>
      </c>
      <c r="V117" s="39">
        <v>4.0800515862331466</v>
      </c>
      <c r="W117" s="27">
        <v>712500.00000000012</v>
      </c>
      <c r="X117">
        <f t="shared" si="160"/>
        <v>0</v>
      </c>
      <c r="Y117">
        <f t="shared" si="161"/>
        <v>0</v>
      </c>
      <c r="AB117"/>
      <c r="AC117"/>
      <c r="AD117"/>
    </row>
    <row r="118" spans="1:30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1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4">
        <f t="shared" si="159"/>
        <v>750000.00000000012</v>
      </c>
      <c r="V118" s="39">
        <v>3.8760490069214897</v>
      </c>
      <c r="W118" s="27">
        <v>750000.00000000012</v>
      </c>
      <c r="X118">
        <f t="shared" si="160"/>
        <v>0</v>
      </c>
      <c r="Y118">
        <f t="shared" si="161"/>
        <v>0</v>
      </c>
      <c r="AB118"/>
      <c r="AC118"/>
      <c r="AD118"/>
    </row>
    <row r="119" spans="1:30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1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4">
        <f t="shared" si="159"/>
        <v>787500.00000000012</v>
      </c>
      <c r="V119" s="39">
        <v>3.6914752446871328</v>
      </c>
      <c r="W119" s="27">
        <v>787500.00000000012</v>
      </c>
      <c r="X119">
        <f t="shared" si="160"/>
        <v>0</v>
      </c>
      <c r="Y119">
        <f t="shared" si="161"/>
        <v>0</v>
      </c>
      <c r="AB119"/>
      <c r="AC119"/>
      <c r="AD119"/>
    </row>
    <row r="120" spans="1:30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27">
        <v>825000.00000000012</v>
      </c>
      <c r="AB120"/>
      <c r="AC120"/>
      <c r="AD120"/>
    </row>
    <row r="121" spans="1:30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1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4">
        <f t="shared" si="159"/>
        <v>862499.99999999988</v>
      </c>
      <c r="V121" s="39">
        <v>3.3704773973230346</v>
      </c>
      <c r="W121" s="27">
        <v>862500</v>
      </c>
      <c r="X121">
        <f t="shared" si="160"/>
        <v>0</v>
      </c>
      <c r="Y121">
        <f t="shared" si="161"/>
        <v>0</v>
      </c>
      <c r="AB121"/>
      <c r="AC121"/>
      <c r="AD121"/>
    </row>
    <row r="122" spans="1:30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1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4">
        <f t="shared" si="159"/>
        <v>900000</v>
      </c>
      <c r="V122" s="39">
        <v>3.2300408391012412</v>
      </c>
      <c r="W122" s="27">
        <v>900000.00000000012</v>
      </c>
      <c r="X122">
        <f t="shared" si="160"/>
        <v>0</v>
      </c>
      <c r="Y122">
        <f t="shared" si="161"/>
        <v>0</v>
      </c>
      <c r="AB122"/>
      <c r="AC122"/>
      <c r="AD122"/>
    </row>
    <row r="123" spans="1:30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1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4">
        <f t="shared" si="159"/>
        <v>937500.00000000012</v>
      </c>
      <c r="V123" s="39">
        <v>3.1008392055371918</v>
      </c>
      <c r="W123" s="27">
        <v>937500.00000000012</v>
      </c>
      <c r="X123">
        <f t="shared" si="160"/>
        <v>0</v>
      </c>
      <c r="Y123">
        <f t="shared" si="161"/>
        <v>0</v>
      </c>
      <c r="AB123"/>
      <c r="AC123"/>
      <c r="AD123"/>
    </row>
    <row r="124" spans="1:30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1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4">
        <f t="shared" si="159"/>
        <v>975000</v>
      </c>
      <c r="V124" s="39">
        <v>2.981576159170376</v>
      </c>
      <c r="W124" s="27">
        <v>975000.00000000035</v>
      </c>
      <c r="X124">
        <f t="shared" si="160"/>
        <v>0</v>
      </c>
      <c r="Y124">
        <f t="shared" si="161"/>
        <v>0</v>
      </c>
      <c r="AB124"/>
      <c r="AC124"/>
      <c r="AD124"/>
    </row>
    <row r="125" spans="1:30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1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4">
        <f t="shared" si="159"/>
        <v>1012499.9999999999</v>
      </c>
      <c r="V125" s="39">
        <v>2.8711474125344365</v>
      </c>
      <c r="W125" s="27">
        <v>1012500.0000000002</v>
      </c>
      <c r="X125">
        <f t="shared" si="160"/>
        <v>0</v>
      </c>
      <c r="Y125">
        <f t="shared" si="161"/>
        <v>0</v>
      </c>
      <c r="AB125"/>
      <c r="AC125"/>
      <c r="AD125"/>
    </row>
    <row r="126" spans="1:30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1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4">
        <f t="shared" si="159"/>
        <v>1050000.0000000002</v>
      </c>
      <c r="V126" s="39">
        <v>2.7686064335153495</v>
      </c>
      <c r="W126" s="27">
        <v>1050000.0000000002</v>
      </c>
      <c r="X126">
        <f t="shared" si="160"/>
        <v>0</v>
      </c>
      <c r="Y126">
        <f t="shared" si="161"/>
        <v>0</v>
      </c>
      <c r="AB126"/>
      <c r="AC126"/>
      <c r="AD126"/>
    </row>
    <row r="127" spans="1:30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1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4">
        <f t="shared" si="159"/>
        <v>1087500.0000000002</v>
      </c>
      <c r="V127" s="39">
        <v>2.6731372461527512</v>
      </c>
      <c r="W127" s="27">
        <v>1087500.0000000002</v>
      </c>
      <c r="X127">
        <f t="shared" si="160"/>
        <v>0</v>
      </c>
      <c r="Y127">
        <f t="shared" si="161"/>
        <v>0</v>
      </c>
      <c r="AB127"/>
      <c r="AC127"/>
      <c r="AD127"/>
    </row>
    <row r="128" spans="1:30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1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4">
        <f t="shared" si="159"/>
        <v>1125000</v>
      </c>
      <c r="V128" s="39">
        <v>2.5840326712809931</v>
      </c>
      <c r="W128" s="27">
        <v>1125000</v>
      </c>
      <c r="X128">
        <f t="shared" si="160"/>
        <v>0</v>
      </c>
      <c r="Y128">
        <f t="shared" si="161"/>
        <v>0</v>
      </c>
      <c r="AB128"/>
      <c r="AC128"/>
      <c r="AD128"/>
    </row>
    <row r="129" spans="1:30">
      <c r="A129" s="80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2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2">
        <f t="shared" si="159"/>
        <v>37500.000000000007</v>
      </c>
      <c r="V129" s="39">
        <v>77.520980138429792</v>
      </c>
      <c r="W129" s="27">
        <v>37500.000000000007</v>
      </c>
      <c r="X129">
        <f t="shared" si="160"/>
        <v>0</v>
      </c>
      <c r="Y129">
        <f t="shared" si="161"/>
        <v>0</v>
      </c>
      <c r="AB129"/>
      <c r="AC129"/>
      <c r="AD129"/>
    </row>
    <row r="130" spans="1:30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2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2">
        <f t="shared" si="159"/>
        <v>75000.000000000015</v>
      </c>
      <c r="V130" s="39">
        <v>38.760490069214896</v>
      </c>
      <c r="W130" s="27">
        <v>75000.000000000015</v>
      </c>
      <c r="X130">
        <f t="shared" si="160"/>
        <v>0</v>
      </c>
      <c r="Y130">
        <f t="shared" si="161"/>
        <v>0</v>
      </c>
      <c r="AB130"/>
      <c r="AC130"/>
      <c r="AD130"/>
    </row>
    <row r="131" spans="1:30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2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2">
        <f t="shared" si="159"/>
        <v>112500</v>
      </c>
      <c r="V131" s="39">
        <v>25.840326712809929</v>
      </c>
      <c r="W131" s="27">
        <v>112500.00000000001</v>
      </c>
      <c r="X131">
        <f t="shared" si="160"/>
        <v>0</v>
      </c>
      <c r="Y131">
        <f t="shared" si="161"/>
        <v>0</v>
      </c>
      <c r="AB131"/>
      <c r="AC131"/>
      <c r="AD131"/>
    </row>
    <row r="132" spans="1:30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2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2">
        <f t="shared" si="159"/>
        <v>150000.00000000003</v>
      </c>
      <c r="V132" s="39">
        <v>19.380245034607448</v>
      </c>
      <c r="W132" s="27">
        <v>150000.00000000003</v>
      </c>
      <c r="X132">
        <f t="shared" si="160"/>
        <v>0</v>
      </c>
      <c r="Y132">
        <f t="shared" si="161"/>
        <v>0</v>
      </c>
      <c r="AB132"/>
      <c r="AC132"/>
      <c r="AD132"/>
    </row>
    <row r="133" spans="1:30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3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3">
        <f t="shared" si="159"/>
        <v>187500.00000000003</v>
      </c>
      <c r="V133" s="39">
        <v>15.504196027685959</v>
      </c>
      <c r="W133" s="27">
        <v>187500.00000000003</v>
      </c>
      <c r="X133">
        <f t="shared" si="160"/>
        <v>0</v>
      </c>
      <c r="Y133">
        <f t="shared" si="161"/>
        <v>0</v>
      </c>
      <c r="AB133"/>
      <c r="AC133"/>
      <c r="AD133"/>
    </row>
    <row r="134" spans="1:30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3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3">
        <f t="shared" si="159"/>
        <v>225000</v>
      </c>
      <c r="V134" s="39">
        <v>12.920163356404965</v>
      </c>
      <c r="W134" s="27">
        <v>225000.00000000003</v>
      </c>
      <c r="X134">
        <f t="shared" si="160"/>
        <v>0</v>
      </c>
      <c r="Y134">
        <f t="shared" si="161"/>
        <v>0</v>
      </c>
      <c r="AB134"/>
      <c r="AC134"/>
      <c r="AD134"/>
    </row>
    <row r="135" spans="1:30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3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3">
        <f t="shared" si="159"/>
        <v>262500.00000000006</v>
      </c>
      <c r="V135" s="39">
        <v>11.074425734061398</v>
      </c>
      <c r="W135" s="27">
        <v>262500.00000000006</v>
      </c>
      <c r="X135">
        <f t="shared" si="160"/>
        <v>0</v>
      </c>
      <c r="Y135">
        <f t="shared" si="161"/>
        <v>0</v>
      </c>
      <c r="AB135"/>
      <c r="AC135"/>
      <c r="AD135"/>
    </row>
    <row r="136" spans="1:30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3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3">
        <f t="shared" si="159"/>
        <v>300000.00000000006</v>
      </c>
      <c r="V136" s="39">
        <v>9.690122517303724</v>
      </c>
      <c r="W136" s="27">
        <v>300000.00000000006</v>
      </c>
      <c r="X136">
        <f t="shared" si="160"/>
        <v>0</v>
      </c>
      <c r="Y136">
        <f t="shared" si="161"/>
        <v>0</v>
      </c>
      <c r="AB136"/>
      <c r="AC136"/>
      <c r="AD136"/>
    </row>
    <row r="137" spans="1:30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3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3">
        <f t="shared" si="159"/>
        <v>337500.00000000012</v>
      </c>
      <c r="V137" s="39">
        <v>8.6134422376033086</v>
      </c>
      <c r="W137" s="27">
        <v>337500.00000000012</v>
      </c>
      <c r="X137">
        <f t="shared" si="160"/>
        <v>0</v>
      </c>
      <c r="Y137">
        <f t="shared" si="161"/>
        <v>0</v>
      </c>
      <c r="AB137"/>
      <c r="AC137"/>
      <c r="AD137"/>
    </row>
    <row r="138" spans="1:30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3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3">
        <f t="shared" si="159"/>
        <v>375000.00000000006</v>
      </c>
      <c r="V138" s="39">
        <v>7.7520980138429794</v>
      </c>
      <c r="W138" s="27">
        <v>375000.00000000006</v>
      </c>
      <c r="X138">
        <f t="shared" si="160"/>
        <v>0</v>
      </c>
      <c r="Y138">
        <f t="shared" si="161"/>
        <v>0</v>
      </c>
      <c r="AB138"/>
      <c r="AC138"/>
      <c r="AD138"/>
    </row>
    <row r="139" spans="1:30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1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4">
        <f t="shared" si="159"/>
        <v>412500</v>
      </c>
      <c r="V139" s="39">
        <v>7.0473618307663441</v>
      </c>
      <c r="W139" s="27">
        <v>412500.00000000006</v>
      </c>
      <c r="X139">
        <f t="shared" si="160"/>
        <v>0</v>
      </c>
      <c r="Y139">
        <f t="shared" si="161"/>
        <v>0</v>
      </c>
      <c r="AB139"/>
      <c r="AC139"/>
      <c r="AD139"/>
    </row>
    <row r="140" spans="1:30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1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4">
        <f t="shared" si="159"/>
        <v>450000</v>
      </c>
      <c r="V140" s="39">
        <v>6.4600816782024824</v>
      </c>
      <c r="W140" s="27">
        <v>450000.00000000006</v>
      </c>
      <c r="X140">
        <f t="shared" si="160"/>
        <v>0</v>
      </c>
      <c r="Y140">
        <f t="shared" si="161"/>
        <v>0</v>
      </c>
      <c r="AB140"/>
      <c r="AC140"/>
      <c r="AD140"/>
    </row>
    <row r="141" spans="1:30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1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4">
        <f t="shared" si="159"/>
        <v>487500</v>
      </c>
      <c r="V141" s="39">
        <v>5.963152318340752</v>
      </c>
      <c r="W141" s="27">
        <v>487500.00000000017</v>
      </c>
      <c r="X141">
        <f t="shared" si="160"/>
        <v>0</v>
      </c>
      <c r="Y141">
        <f t="shared" si="161"/>
        <v>0</v>
      </c>
      <c r="AB141"/>
      <c r="AC141"/>
      <c r="AD141"/>
    </row>
    <row r="142" spans="1:30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1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4">
        <f t="shared" si="159"/>
        <v>525000.00000000012</v>
      </c>
      <c r="V142" s="39">
        <v>5.537212867030699</v>
      </c>
      <c r="W142" s="27">
        <v>525000.00000000012</v>
      </c>
      <c r="X142">
        <f t="shared" si="160"/>
        <v>0</v>
      </c>
      <c r="Y142">
        <f t="shared" si="161"/>
        <v>0</v>
      </c>
      <c r="AB142"/>
      <c r="AC142"/>
      <c r="AD142"/>
    </row>
    <row r="143" spans="1:30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1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4">
        <f t="shared" si="159"/>
        <v>562500</v>
      </c>
      <c r="V143" s="39">
        <v>5.1680653425619862</v>
      </c>
      <c r="W143" s="27">
        <v>562500</v>
      </c>
      <c r="X143">
        <f t="shared" si="160"/>
        <v>0</v>
      </c>
      <c r="Y143">
        <f t="shared" si="161"/>
        <v>0</v>
      </c>
      <c r="AB143"/>
      <c r="AC143"/>
      <c r="AD143"/>
    </row>
    <row r="144" spans="1:30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1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4">
        <f t="shared" si="159"/>
        <v>600000.00000000012</v>
      </c>
      <c r="V144" s="39">
        <v>4.845061258651862</v>
      </c>
      <c r="W144" s="27">
        <v>600000.00000000012</v>
      </c>
      <c r="X144">
        <f t="shared" si="160"/>
        <v>0</v>
      </c>
      <c r="Y144">
        <f t="shared" si="161"/>
        <v>0</v>
      </c>
      <c r="AB144"/>
      <c r="AC144"/>
      <c r="AD144"/>
    </row>
    <row r="145" spans="1:30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1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4">
        <f t="shared" si="159"/>
        <v>637500</v>
      </c>
      <c r="V145" s="39">
        <v>4.560057655201752</v>
      </c>
      <c r="W145" s="27">
        <v>637500.00000000012</v>
      </c>
      <c r="X145">
        <f t="shared" si="160"/>
        <v>0</v>
      </c>
      <c r="Y145">
        <f t="shared" si="161"/>
        <v>0</v>
      </c>
      <c r="AB145"/>
      <c r="AC145"/>
      <c r="AD145"/>
    </row>
    <row r="146" spans="1:30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1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4">
        <f t="shared" si="159"/>
        <v>675000.00000000023</v>
      </c>
      <c r="V146" s="39">
        <v>4.3067211188016543</v>
      </c>
      <c r="W146" s="27">
        <v>675000.00000000023</v>
      </c>
      <c r="X146">
        <f t="shared" si="160"/>
        <v>0</v>
      </c>
      <c r="Y146">
        <f t="shared" si="161"/>
        <v>0</v>
      </c>
      <c r="AB146"/>
      <c r="AC146"/>
      <c r="AD146"/>
    </row>
    <row r="147" spans="1:30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1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4">
        <f t="shared" si="159"/>
        <v>712500</v>
      </c>
      <c r="V147" s="39">
        <v>4.0800515862331466</v>
      </c>
      <c r="W147" s="27">
        <v>712500.00000000012</v>
      </c>
      <c r="X147">
        <f t="shared" si="160"/>
        <v>0</v>
      </c>
      <c r="Y147">
        <f t="shared" si="161"/>
        <v>0</v>
      </c>
      <c r="AB147"/>
      <c r="AC147"/>
      <c r="AD147"/>
    </row>
    <row r="148" spans="1:30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1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4">
        <f t="shared" si="159"/>
        <v>750000.00000000012</v>
      </c>
      <c r="V148" s="39">
        <v>3.8760490069214897</v>
      </c>
      <c r="W148" s="27">
        <v>750000.00000000012</v>
      </c>
      <c r="X148">
        <f t="shared" si="160"/>
        <v>0</v>
      </c>
      <c r="Y148">
        <f t="shared" si="161"/>
        <v>0</v>
      </c>
      <c r="AB148"/>
      <c r="AC148"/>
      <c r="AD148"/>
    </row>
    <row r="149" spans="1:30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1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4">
        <f t="shared" si="159"/>
        <v>787500.00000000012</v>
      </c>
      <c r="V149" s="39">
        <v>3.6914752446871328</v>
      </c>
      <c r="W149" s="27">
        <v>787500.00000000012</v>
      </c>
      <c r="X149">
        <f t="shared" si="160"/>
        <v>0</v>
      </c>
      <c r="Y149">
        <f t="shared" si="161"/>
        <v>0</v>
      </c>
      <c r="AB149"/>
      <c r="AC149"/>
      <c r="AD149"/>
    </row>
    <row r="150" spans="1:30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1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4">
        <f t="shared" si="159"/>
        <v>825000</v>
      </c>
      <c r="V150" s="39">
        <v>3.5236809153831721</v>
      </c>
      <c r="W150" s="27">
        <v>825000.00000000012</v>
      </c>
      <c r="X150">
        <f t="shared" si="160"/>
        <v>0</v>
      </c>
      <c r="Y150">
        <f t="shared" si="161"/>
        <v>0</v>
      </c>
      <c r="AB150"/>
      <c r="AC150"/>
      <c r="AD150"/>
    </row>
    <row r="151" spans="1:30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1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4">
        <f t="shared" si="159"/>
        <v>862499.99999999988</v>
      </c>
      <c r="V151" s="39">
        <v>3.3704773973230346</v>
      </c>
      <c r="W151" s="27">
        <v>862500</v>
      </c>
      <c r="X151">
        <f t="shared" si="160"/>
        <v>0</v>
      </c>
      <c r="Y151">
        <f t="shared" si="161"/>
        <v>0</v>
      </c>
      <c r="AB151"/>
      <c r="AC151"/>
      <c r="AD151"/>
    </row>
    <row r="152" spans="1:30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1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4">
        <f t="shared" si="159"/>
        <v>900000</v>
      </c>
      <c r="V152" s="39">
        <v>3.2300408391012412</v>
      </c>
      <c r="W152" s="27">
        <v>900000.00000000012</v>
      </c>
      <c r="X152">
        <f t="shared" si="160"/>
        <v>0</v>
      </c>
      <c r="Y152">
        <f t="shared" si="161"/>
        <v>0</v>
      </c>
      <c r="AB152"/>
      <c r="AC152"/>
      <c r="AD152"/>
    </row>
    <row r="153" spans="1:30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1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4">
        <f t="shared" si="159"/>
        <v>937500.00000000012</v>
      </c>
      <c r="V153" s="39">
        <v>3.1008392055371918</v>
      </c>
      <c r="W153" s="27">
        <v>937500.00000000012</v>
      </c>
      <c r="X153">
        <f t="shared" si="160"/>
        <v>0</v>
      </c>
      <c r="Y153">
        <f t="shared" si="161"/>
        <v>0</v>
      </c>
      <c r="AB153"/>
      <c r="AC153"/>
      <c r="AD153"/>
    </row>
    <row r="154" spans="1:30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1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4">
        <f t="shared" si="159"/>
        <v>975000</v>
      </c>
      <c r="V154" s="39">
        <v>2.981576159170376</v>
      </c>
      <c r="W154" s="27">
        <v>975000.00000000035</v>
      </c>
      <c r="X154">
        <f t="shared" si="160"/>
        <v>0</v>
      </c>
      <c r="Y154">
        <f t="shared" si="161"/>
        <v>0</v>
      </c>
      <c r="AB154"/>
      <c r="AC154"/>
      <c r="AD154"/>
    </row>
    <row r="155" spans="1:30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1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4">
        <f t="shared" si="159"/>
        <v>1012499.9999999999</v>
      </c>
      <c r="V155" s="39">
        <v>2.8711474125344365</v>
      </c>
      <c r="W155" s="27">
        <v>1012500.0000000002</v>
      </c>
      <c r="X155">
        <f t="shared" si="160"/>
        <v>0</v>
      </c>
      <c r="Y155">
        <f t="shared" si="161"/>
        <v>0</v>
      </c>
      <c r="AB155"/>
      <c r="AC155"/>
      <c r="AD155"/>
    </row>
    <row r="156" spans="1:30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1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4">
        <f t="shared" si="159"/>
        <v>1050000.0000000002</v>
      </c>
      <c r="V156" s="39">
        <v>2.7686064335153495</v>
      </c>
      <c r="W156" s="27">
        <v>1050000.0000000002</v>
      </c>
      <c r="X156">
        <f t="shared" si="160"/>
        <v>0</v>
      </c>
      <c r="Y156">
        <f t="shared" si="161"/>
        <v>0</v>
      </c>
      <c r="AB156"/>
      <c r="AC156"/>
      <c r="AD156"/>
    </row>
    <row r="157" spans="1:30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1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4">
        <f t="shared" si="159"/>
        <v>1087500.0000000002</v>
      </c>
      <c r="V157" s="39">
        <v>2.6731372461527512</v>
      </c>
      <c r="W157" s="27">
        <v>1087500.0000000002</v>
      </c>
      <c r="X157">
        <f t="shared" si="160"/>
        <v>0</v>
      </c>
      <c r="Y157">
        <f t="shared" si="161"/>
        <v>0</v>
      </c>
      <c r="AB157"/>
      <c r="AC157"/>
      <c r="AD157"/>
    </row>
    <row r="158" spans="1:30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1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4">
        <f t="shared" ref="U158:U165" si="309">N158/T158</f>
        <v>1125000</v>
      </c>
      <c r="V158" s="39">
        <v>2.5840326712809931</v>
      </c>
      <c r="W158" s="27">
        <v>1125000</v>
      </c>
      <c r="X158">
        <f t="shared" ref="X158:X165" si="310">T158-V158</f>
        <v>0</v>
      </c>
      <c r="Y158">
        <f t="shared" ref="Y158:Y165" si="311">U158-W158</f>
        <v>0</v>
      </c>
      <c r="AB158"/>
      <c r="AC158"/>
      <c r="AD158"/>
    </row>
    <row r="159" spans="1:30">
      <c r="A159" s="40"/>
      <c r="B159" s="39"/>
      <c r="C159" s="39"/>
      <c r="D159"/>
      <c r="U159" s="27"/>
      <c r="V159" s="39"/>
      <c r="AB159"/>
      <c r="AC159"/>
      <c r="AD159"/>
    </row>
    <row r="160" spans="1:30" ht="15.75" thickBot="1">
      <c r="A160" s="26" t="s">
        <v>94</v>
      </c>
      <c r="U160" s="27"/>
      <c r="V160" s="39"/>
      <c r="AB160"/>
      <c r="AC160"/>
      <c r="AD160"/>
    </row>
    <row r="161" spans="1:30" ht="15.75" thickBot="1">
      <c r="A161" s="28"/>
      <c r="B161" s="28" t="s">
        <v>95</v>
      </c>
      <c r="C161" s="29" t="s">
        <v>96</v>
      </c>
      <c r="D161" s="30" t="s">
        <v>97</v>
      </c>
      <c r="E161" s="30" t="s">
        <v>98</v>
      </c>
      <c r="F161" s="30" t="s">
        <v>99</v>
      </c>
      <c r="G161" s="30" t="s">
        <v>65</v>
      </c>
      <c r="H161" s="31" t="s">
        <v>100</v>
      </c>
      <c r="I161" s="32" t="s">
        <v>86</v>
      </c>
      <c r="J161" s="33" t="s">
        <v>87</v>
      </c>
      <c r="K161" s="32" t="s">
        <v>88</v>
      </c>
      <c r="L161" s="32" t="s">
        <v>89</v>
      </c>
      <c r="M161" s="32" t="s">
        <v>90</v>
      </c>
      <c r="N161" s="32" t="s">
        <v>91</v>
      </c>
      <c r="O161" s="32" t="s">
        <v>92</v>
      </c>
      <c r="P161" s="34" t="s">
        <v>93</v>
      </c>
      <c r="R161" s="27" t="s">
        <v>152</v>
      </c>
      <c r="S161" s="27" t="s">
        <v>153</v>
      </c>
      <c r="U161" s="27"/>
      <c r="V161" s="39"/>
      <c r="AB161"/>
      <c r="AC161"/>
      <c r="AD161"/>
    </row>
    <row r="162" spans="1:30" ht="15.75" thickTop="1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27">
        <v>7500000.0000000009</v>
      </c>
      <c r="X162">
        <f t="shared" si="310"/>
        <v>0</v>
      </c>
      <c r="Y162">
        <f t="shared" si="311"/>
        <v>0</v>
      </c>
      <c r="AB162"/>
      <c r="AC162"/>
      <c r="AD162"/>
    </row>
    <row r="163" spans="1:30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27">
        <v>7500000.0000000009</v>
      </c>
      <c r="X163">
        <f t="shared" si="310"/>
        <v>0</v>
      </c>
      <c r="Y163">
        <f t="shared" si="311"/>
        <v>0</v>
      </c>
      <c r="AB163"/>
      <c r="AC163"/>
      <c r="AD163"/>
    </row>
    <row r="164" spans="1:30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27">
        <v>7500000.0000000009</v>
      </c>
      <c r="X164">
        <f t="shared" si="310"/>
        <v>0</v>
      </c>
      <c r="Y164">
        <f t="shared" si="311"/>
        <v>0</v>
      </c>
      <c r="AB164"/>
      <c r="AC164"/>
      <c r="AD164"/>
    </row>
    <row r="165" spans="1:30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27">
        <v>7500000.0000000009</v>
      </c>
      <c r="X165">
        <f t="shared" si="310"/>
        <v>0</v>
      </c>
      <c r="Y165">
        <f t="shared" si="311"/>
        <v>0</v>
      </c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D297"/>
      <c r="AB297"/>
      <c r="AC297"/>
      <c r="AD297"/>
    </row>
    <row r="298" spans="1:30">
      <c r="D298"/>
      <c r="AB298"/>
      <c r="AC298"/>
      <c r="AD298"/>
    </row>
    <row r="299" spans="1:30">
      <c r="D299"/>
      <c r="AB299"/>
      <c r="AC299"/>
      <c r="AD299"/>
    </row>
    <row r="300" spans="1:30">
      <c r="D300"/>
      <c r="AB300"/>
      <c r="AC300"/>
      <c r="AD300"/>
    </row>
    <row r="301" spans="1:30">
      <c r="D301"/>
      <c r="AB301"/>
      <c r="AC301"/>
      <c r="AD301"/>
    </row>
    <row r="302" spans="1:30">
      <c r="D302"/>
      <c r="AB302"/>
      <c r="AC302"/>
      <c r="AD302"/>
    </row>
    <row r="303" spans="1:30">
      <c r="D303"/>
      <c r="AB303"/>
      <c r="AC303"/>
      <c r="AD303"/>
    </row>
    <row r="304" spans="1:30">
      <c r="D304"/>
      <c r="AB304"/>
      <c r="AC304"/>
      <c r="AD304"/>
    </row>
    <row r="305" spans="20:23" customFormat="1">
      <c r="T305" s="39"/>
      <c r="W305" s="27"/>
    </row>
    <row r="306" spans="20:23" customFormat="1">
      <c r="T306" s="39"/>
      <c r="W306" s="27"/>
    </row>
    <row r="307" spans="20:23" customFormat="1">
      <c r="T307" s="39"/>
      <c r="W307" s="27"/>
    </row>
    <row r="308" spans="20:23" customFormat="1">
      <c r="T308" s="39"/>
      <c r="W308" s="27"/>
    </row>
    <row r="309" spans="20:23" customFormat="1">
      <c r="T309" s="39"/>
      <c r="W309" s="27"/>
    </row>
    <row r="310" spans="20:23" customFormat="1">
      <c r="T310" s="39"/>
      <c r="W310" s="27"/>
    </row>
    <row r="311" spans="20:23" customFormat="1">
      <c r="T311" s="39"/>
      <c r="W311" s="27"/>
    </row>
    <row r="312" spans="20:23" customFormat="1">
      <c r="T312" s="39"/>
      <c r="W312" s="27"/>
    </row>
    <row r="313" spans="20:23" customFormat="1">
      <c r="T313" s="39"/>
      <c r="W313" s="27"/>
    </row>
    <row r="314" spans="20:23" customFormat="1">
      <c r="T314" s="39"/>
      <c r="W314" s="27"/>
    </row>
    <row r="315" spans="20:23" customFormat="1">
      <c r="T315" s="39"/>
      <c r="W315" s="27"/>
    </row>
    <row r="316" spans="20:23" customFormat="1">
      <c r="T316" s="39"/>
      <c r="W316" s="27"/>
    </row>
    <row r="317" spans="20:23" customFormat="1">
      <c r="T317" s="39"/>
      <c r="W317" s="27"/>
    </row>
    <row r="318" spans="20:23" customFormat="1">
      <c r="T318" s="39"/>
      <c r="W318" s="27"/>
    </row>
    <row r="319" spans="20:23" customFormat="1">
      <c r="T319" s="39"/>
      <c r="W319" s="27"/>
    </row>
    <row r="320" spans="20:23" customFormat="1">
      <c r="T320" s="39"/>
      <c r="W320" s="27"/>
    </row>
    <row r="321" spans="20:23" customFormat="1">
      <c r="T321" s="39"/>
      <c r="W321" s="27"/>
    </row>
    <row r="322" spans="20:23" customFormat="1">
      <c r="T322" s="39"/>
      <c r="W322" s="27"/>
    </row>
    <row r="323" spans="20:23" customFormat="1">
      <c r="T323" s="39"/>
      <c r="W323" s="27"/>
    </row>
    <row r="324" spans="20:23" customFormat="1">
      <c r="T324" s="39"/>
      <c r="W324" s="27"/>
    </row>
    <row r="325" spans="20:23" customFormat="1">
      <c r="T325" s="39"/>
      <c r="W325" s="27"/>
    </row>
    <row r="326" spans="20:23" customFormat="1">
      <c r="T326" s="39"/>
      <c r="W326" s="27"/>
    </row>
    <row r="327" spans="20:23" customFormat="1">
      <c r="T327" s="39"/>
      <c r="W327" s="27"/>
    </row>
    <row r="328" spans="20:23" customFormat="1">
      <c r="T328" s="39"/>
      <c r="W328" s="27"/>
    </row>
    <row r="329" spans="20:23" customFormat="1">
      <c r="T329" s="39"/>
      <c r="W329" s="27"/>
    </row>
    <row r="330" spans="20:23" customFormat="1">
      <c r="T330" s="39"/>
      <c r="W330" s="27"/>
    </row>
    <row r="331" spans="20:23" customFormat="1">
      <c r="T331" s="39"/>
      <c r="W331" s="27"/>
    </row>
    <row r="332" spans="20:23" customFormat="1">
      <c r="T332" s="39"/>
      <c r="W332" s="27"/>
    </row>
    <row r="333" spans="20:23" customFormat="1">
      <c r="T333" s="39"/>
      <c r="W333" s="27"/>
    </row>
    <row r="334" spans="20:23" customFormat="1">
      <c r="T334" s="39"/>
      <c r="W334" s="27"/>
    </row>
    <row r="335" spans="20:23" customFormat="1">
      <c r="T335" s="39"/>
      <c r="W335" s="27"/>
    </row>
    <row r="336" spans="20:23" customFormat="1">
      <c r="T336" s="39"/>
      <c r="W336" s="27"/>
    </row>
    <row r="337" spans="20:23" customFormat="1">
      <c r="T337" s="39"/>
      <c r="W337" s="27"/>
    </row>
    <row r="338" spans="20:23" customFormat="1">
      <c r="T338" s="39"/>
      <c r="W338" s="27"/>
    </row>
    <row r="339" spans="20:23" customFormat="1">
      <c r="T339" s="39"/>
      <c r="W339" s="27"/>
    </row>
    <row r="340" spans="20:23" customFormat="1">
      <c r="T340" s="39"/>
      <c r="W340" s="27"/>
    </row>
    <row r="341" spans="20:23" customFormat="1">
      <c r="T341" s="39"/>
      <c r="W341" s="27"/>
    </row>
    <row r="342" spans="20:23" customFormat="1">
      <c r="T342" s="39"/>
      <c r="W342" s="27"/>
    </row>
    <row r="343" spans="20:23" customFormat="1">
      <c r="T343" s="39"/>
      <c r="W343" s="27"/>
    </row>
    <row r="344" spans="20:23" customFormat="1">
      <c r="T344" s="39"/>
      <c r="W344" s="27"/>
    </row>
    <row r="345" spans="20:23" customFormat="1">
      <c r="T345" s="39"/>
      <c r="W345" s="27"/>
    </row>
    <row r="346" spans="20:23" customFormat="1">
      <c r="T346" s="39"/>
      <c r="W346" s="27"/>
    </row>
    <row r="347" spans="20:23" customFormat="1">
      <c r="T347" s="39"/>
      <c r="W347" s="27"/>
    </row>
    <row r="348" spans="20:23" customFormat="1">
      <c r="T348" s="39"/>
      <c r="W348" s="27"/>
    </row>
    <row r="349" spans="20:23" customFormat="1">
      <c r="T349" s="39"/>
      <c r="W349" s="27"/>
    </row>
    <row r="350" spans="20:23" customFormat="1">
      <c r="T350" s="39"/>
      <c r="W350" s="27"/>
    </row>
    <row r="351" spans="20:23" customFormat="1">
      <c r="T351" s="39"/>
      <c r="W351" s="27"/>
    </row>
    <row r="352" spans="20:23" customFormat="1">
      <c r="T352" s="39"/>
      <c r="W352" s="27"/>
    </row>
    <row r="353" spans="20:23" customFormat="1">
      <c r="T353" s="39"/>
      <c r="W353" s="27"/>
    </row>
    <row r="354" spans="20:23" customFormat="1">
      <c r="T354" s="39"/>
      <c r="W354" s="27"/>
    </row>
    <row r="355" spans="20:23" customFormat="1">
      <c r="T355" s="39"/>
      <c r="W355" s="27"/>
    </row>
    <row r="356" spans="20:23" customFormat="1">
      <c r="T356" s="39"/>
      <c r="W356" s="27"/>
    </row>
    <row r="357" spans="20:23" customFormat="1">
      <c r="T357" s="39"/>
      <c r="W357" s="27"/>
    </row>
    <row r="358" spans="20:23" customFormat="1">
      <c r="T358" s="39"/>
      <c r="W358" s="27"/>
    </row>
    <row r="359" spans="20:23" customFormat="1">
      <c r="T359" s="39"/>
      <c r="W359" s="27"/>
    </row>
    <row r="360" spans="20:23" customFormat="1">
      <c r="T360" s="39"/>
      <c r="W360" s="27"/>
    </row>
    <row r="361" spans="20:23" customFormat="1">
      <c r="T361" s="39"/>
      <c r="W361" s="27"/>
    </row>
    <row r="362" spans="20:23" customFormat="1">
      <c r="T362" s="39"/>
      <c r="W362" s="27"/>
    </row>
    <row r="363" spans="20:23" customFormat="1">
      <c r="T363" s="39"/>
      <c r="W363" s="27"/>
    </row>
    <row r="364" spans="20:23" customFormat="1">
      <c r="T364" s="39"/>
      <c r="W364" s="27"/>
    </row>
    <row r="365" spans="20:23" customFormat="1">
      <c r="T365" s="39"/>
      <c r="W365" s="27"/>
    </row>
    <row r="366" spans="20:23" customFormat="1">
      <c r="T366" s="39"/>
      <c r="W366" s="27"/>
    </row>
    <row r="367" spans="20:23" customFormat="1">
      <c r="T367" s="39"/>
      <c r="W367" s="27"/>
    </row>
    <row r="368" spans="20:23" customFormat="1">
      <c r="T368" s="39"/>
      <c r="W368" s="27"/>
    </row>
    <row r="369" spans="4:30">
      <c r="D369"/>
      <c r="AB369"/>
      <c r="AC369"/>
      <c r="AD369"/>
    </row>
    <row r="370" spans="4:30">
      <c r="D370"/>
      <c r="AB370"/>
      <c r="AC370"/>
      <c r="AD370"/>
    </row>
    <row r="371" spans="4:30">
      <c r="D371"/>
      <c r="AB371"/>
      <c r="AC371"/>
      <c r="AD371"/>
    </row>
    <row r="372" spans="4:30">
      <c r="D372"/>
      <c r="AB372"/>
      <c r="AC372"/>
      <c r="AD372"/>
    </row>
    <row r="373" spans="4:30">
      <c r="D373"/>
      <c r="AB373"/>
      <c r="AC373"/>
      <c r="AD373"/>
    </row>
    <row r="374" spans="4:30">
      <c r="D374"/>
      <c r="AB374"/>
      <c r="AC374"/>
      <c r="AD374"/>
    </row>
    <row r="375" spans="4:30">
      <c r="D375"/>
      <c r="AB375"/>
      <c r="AC375"/>
      <c r="AD375"/>
    </row>
    <row r="376" spans="4:30">
      <c r="D376"/>
      <c r="AB376"/>
      <c r="AC376"/>
      <c r="AD376"/>
    </row>
    <row r="377" spans="4:30">
      <c r="D377"/>
      <c r="U377" s="40"/>
      <c r="V377" s="39"/>
      <c r="AB377"/>
      <c r="AC377"/>
      <c r="AD377"/>
    </row>
    <row r="378" spans="4:30">
      <c r="D378"/>
      <c r="U378" s="40"/>
      <c r="V378" s="39"/>
      <c r="AB378"/>
      <c r="AC378"/>
      <c r="AD378"/>
    </row>
    <row r="379" spans="4:30">
      <c r="D379"/>
      <c r="U379" s="40"/>
      <c r="V379" s="39"/>
      <c r="AB379"/>
      <c r="AC379"/>
      <c r="AD379"/>
    </row>
    <row r="380" spans="4:30">
      <c r="D380"/>
      <c r="U380" s="40"/>
      <c r="V380" s="39"/>
      <c r="AB380"/>
      <c r="AC380"/>
      <c r="AD380"/>
    </row>
    <row r="381" spans="4:30">
      <c r="D381"/>
      <c r="U381" s="40"/>
      <c r="V381" s="39"/>
      <c r="AB381"/>
      <c r="AC381"/>
      <c r="AD381"/>
    </row>
    <row r="382" spans="4:30">
      <c r="D382"/>
      <c r="U382" s="40"/>
      <c r="V382" s="39"/>
      <c r="AB382"/>
      <c r="AC382"/>
      <c r="AD382"/>
    </row>
    <row r="383" spans="4:30">
      <c r="D383"/>
      <c r="U383" s="40"/>
      <c r="V383" s="39"/>
      <c r="AB383"/>
      <c r="AC383"/>
      <c r="AD383"/>
    </row>
    <row r="384" spans="4:30">
      <c r="D384"/>
      <c r="U384" s="40"/>
      <c r="V384" s="39"/>
      <c r="AB384"/>
      <c r="AC384"/>
      <c r="AD384"/>
    </row>
    <row r="385" spans="4:30">
      <c r="D385"/>
      <c r="U385" s="40"/>
      <c r="V385" s="39"/>
      <c r="AB385"/>
      <c r="AC385"/>
      <c r="AD385"/>
    </row>
    <row r="386" spans="4:30">
      <c r="D386"/>
    </row>
    <row r="387" spans="4:30">
      <c r="D387"/>
    </row>
    <row r="388" spans="4:30">
      <c r="D388"/>
    </row>
    <row r="389" spans="4:30">
      <c r="D389"/>
      <c r="AB389"/>
      <c r="AC389"/>
      <c r="AD389"/>
    </row>
    <row r="390" spans="4:30">
      <c r="D390"/>
      <c r="AB390"/>
      <c r="AC390"/>
      <c r="AD390"/>
    </row>
    <row r="391" spans="4:30">
      <c r="D391"/>
      <c r="AB391"/>
      <c r="AC391"/>
      <c r="AD391"/>
    </row>
    <row r="392" spans="4:30">
      <c r="D392"/>
      <c r="AB392"/>
      <c r="AC392"/>
      <c r="AD392"/>
    </row>
    <row r="393" spans="4:30">
      <c r="D393"/>
      <c r="AB393"/>
      <c r="AC393"/>
      <c r="AD393"/>
    </row>
    <row r="394" spans="4:30">
      <c r="D394"/>
      <c r="AB394"/>
      <c r="AC394"/>
      <c r="AD394"/>
    </row>
    <row r="395" spans="4:30">
      <c r="D395"/>
      <c r="AB395"/>
      <c r="AC395"/>
      <c r="AD395"/>
    </row>
    <row r="396" spans="4:30">
      <c r="D396"/>
      <c r="AB396"/>
      <c r="AC396"/>
      <c r="AD396"/>
    </row>
    <row r="397" spans="4:30">
      <c r="D397"/>
      <c r="AB397"/>
      <c r="AC397"/>
      <c r="AD397"/>
    </row>
    <row r="398" spans="4:30">
      <c r="D398"/>
      <c r="AB398"/>
      <c r="AC398"/>
      <c r="A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spans="20:23" customFormat="1">
      <c r="T401" s="39"/>
      <c r="W401" s="27"/>
    </row>
    <row r="402" spans="20:23" customFormat="1">
      <c r="T402" s="39"/>
      <c r="W402" s="27"/>
    </row>
    <row r="403" spans="20:23" customFormat="1">
      <c r="T403" s="39"/>
      <c r="W403" s="27"/>
    </row>
    <row r="404" spans="20:23" customFormat="1">
      <c r="T404" s="39"/>
      <c r="W404" s="27"/>
    </row>
    <row r="405" spans="20:23" customFormat="1">
      <c r="T405" s="39"/>
      <c r="W405" s="27"/>
    </row>
    <row r="406" spans="20:23" customFormat="1">
      <c r="T406" s="39"/>
      <c r="W406" s="27"/>
    </row>
    <row r="407" spans="20:23" customFormat="1">
      <c r="T407" s="39"/>
      <c r="W407" s="27"/>
    </row>
    <row r="408" spans="20:23" customFormat="1">
      <c r="T408" s="39"/>
      <c r="W408" s="27"/>
    </row>
    <row r="409" spans="20:23" customFormat="1">
      <c r="T409" s="39"/>
      <c r="W409" s="27"/>
    </row>
    <row r="410" spans="20:23" customFormat="1">
      <c r="T410" s="39"/>
      <c r="W410" s="27"/>
    </row>
    <row r="411" spans="20:23" customFormat="1">
      <c r="T411" s="39"/>
      <c r="W411" s="27"/>
    </row>
    <row r="412" spans="20:23" customFormat="1">
      <c r="T412" s="39"/>
      <c r="W412" s="27"/>
    </row>
    <row r="413" spans="20:23" customFormat="1">
      <c r="T413" s="39"/>
      <c r="W413" s="27"/>
    </row>
    <row r="414" spans="20:23" customFormat="1">
      <c r="T414" s="39"/>
      <c r="W414" s="27"/>
    </row>
    <row r="415" spans="20:23" customFormat="1">
      <c r="T415" s="39"/>
      <c r="W415" s="27"/>
    </row>
    <row r="416" spans="20:23" customFormat="1">
      <c r="T416" s="39"/>
      <c r="W416" s="27"/>
    </row>
    <row r="417" spans="20:23" customFormat="1">
      <c r="T417" s="39"/>
      <c r="W417" s="27"/>
    </row>
    <row r="418" spans="20:23" customFormat="1">
      <c r="T418" s="39"/>
      <c r="W418" s="27"/>
    </row>
    <row r="419" spans="20:23" customFormat="1">
      <c r="T419" s="39"/>
      <c r="W419" s="27"/>
    </row>
    <row r="420" spans="20:23" customFormat="1">
      <c r="T420" s="39"/>
      <c r="W420" s="27"/>
    </row>
    <row r="421" spans="20:23" customFormat="1">
      <c r="T421" s="39"/>
      <c r="W421" s="27"/>
    </row>
    <row r="422" spans="20:23" customFormat="1">
      <c r="T422" s="39"/>
      <c r="W422" s="27"/>
    </row>
    <row r="423" spans="20:23" customFormat="1">
      <c r="T423" s="39"/>
      <c r="W423" s="27"/>
    </row>
    <row r="424" spans="20:23" customFormat="1">
      <c r="T424" s="39"/>
      <c r="W424" s="27"/>
    </row>
    <row r="425" spans="20:23" customFormat="1">
      <c r="T425" s="39"/>
      <c r="W425" s="27"/>
    </row>
    <row r="426" spans="20:23" customFormat="1">
      <c r="T426" s="39"/>
      <c r="W426" s="27"/>
    </row>
    <row r="427" spans="20:23" customFormat="1">
      <c r="T427" s="39"/>
      <c r="W427" s="27"/>
    </row>
    <row r="428" spans="20:23" customFormat="1">
      <c r="T428" s="39"/>
      <c r="W428" s="27"/>
    </row>
    <row r="429" spans="20:23" customFormat="1">
      <c r="T429" s="39"/>
      <c r="W429" s="27"/>
    </row>
    <row r="430" spans="20:23" customFormat="1">
      <c r="T430" s="39"/>
      <c r="W430" s="27"/>
    </row>
    <row r="431" spans="20:23" customFormat="1">
      <c r="T431" s="39"/>
      <c r="W431" s="27"/>
    </row>
    <row r="432" spans="20:23" customFormat="1">
      <c r="T432" s="39"/>
      <c r="W432" s="27"/>
    </row>
    <row r="433" spans="4:30">
      <c r="D433"/>
      <c r="AB433"/>
      <c r="AC433"/>
      <c r="AD433"/>
    </row>
    <row r="434" spans="4:30">
      <c r="D434"/>
      <c r="AB434"/>
      <c r="AC434"/>
      <c r="AD434"/>
    </row>
    <row r="435" spans="4:30">
      <c r="D435"/>
      <c r="AB435"/>
      <c r="AC435"/>
      <c r="AD435"/>
    </row>
    <row r="436" spans="4:30">
      <c r="D436"/>
      <c r="AB436"/>
      <c r="AC436"/>
      <c r="AD436"/>
    </row>
    <row r="437" spans="4:30">
      <c r="D437"/>
      <c r="AB437"/>
      <c r="AC437"/>
      <c r="AD437"/>
    </row>
    <row r="438" spans="4:30">
      <c r="D438"/>
      <c r="AB438"/>
      <c r="AC438"/>
      <c r="AD438"/>
    </row>
    <row r="439" spans="4:30">
      <c r="D439"/>
      <c r="AB439"/>
      <c r="AC439"/>
      <c r="AD439"/>
    </row>
    <row r="440" spans="4:30">
      <c r="AB440"/>
      <c r="AC440"/>
      <c r="AD440"/>
    </row>
    <row r="441" spans="4:30">
      <c r="AB441"/>
      <c r="AC441"/>
      <c r="AD441"/>
    </row>
    <row r="442" spans="4:30">
      <c r="AB442"/>
      <c r="AC442"/>
      <c r="AD442"/>
    </row>
    <row r="443" spans="4:30">
      <c r="AB443"/>
      <c r="AC443"/>
      <c r="AD443"/>
    </row>
    <row r="444" spans="4:30">
      <c r="AB444"/>
      <c r="AC444"/>
      <c r="AD444"/>
    </row>
    <row r="445" spans="4:30">
      <c r="AB445"/>
      <c r="AC445"/>
      <c r="AD445"/>
    </row>
    <row r="446" spans="4:30">
      <c r="AB446"/>
      <c r="AC446"/>
      <c r="AD446"/>
    </row>
    <row r="447" spans="4:30">
      <c r="AB447"/>
      <c r="AC447"/>
      <c r="AD447"/>
    </row>
    <row r="448" spans="4:30">
      <c r="AB448"/>
      <c r="AC448"/>
      <c r="AD448"/>
    </row>
    <row r="449" spans="4:30"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D455"/>
      <c r="AB455"/>
      <c r="AC455"/>
      <c r="AD455"/>
    </row>
    <row r="456" spans="4:30">
      <c r="D456"/>
      <c r="AB456"/>
      <c r="AC456"/>
      <c r="AD456"/>
    </row>
    <row r="457" spans="4:30">
      <c r="D457"/>
      <c r="AB457"/>
      <c r="AC457"/>
      <c r="AD457"/>
    </row>
    <row r="458" spans="4:30">
      <c r="D458"/>
      <c r="AB458"/>
      <c r="AC458"/>
      <c r="AD458"/>
    </row>
    <row r="459" spans="4:30">
      <c r="D459"/>
      <c r="AB459"/>
      <c r="AC459"/>
      <c r="AD459"/>
    </row>
    <row r="460" spans="4:30">
      <c r="D460"/>
      <c r="AB460"/>
      <c r="AC460"/>
      <c r="AD460"/>
    </row>
    <row r="461" spans="4:30">
      <c r="D461"/>
      <c r="AB461"/>
      <c r="AC461"/>
      <c r="AD461"/>
    </row>
    <row r="462" spans="4:30">
      <c r="D462"/>
      <c r="AB462"/>
      <c r="AC462"/>
      <c r="AD462"/>
    </row>
    <row r="463" spans="4:30">
      <c r="D463"/>
      <c r="AB463"/>
      <c r="AC463"/>
      <c r="AD463"/>
    </row>
    <row r="464" spans="4:30">
      <c r="D464"/>
      <c r="AB464"/>
      <c r="AC464"/>
      <c r="AD464"/>
    </row>
    <row r="465" spans="20:23" customFormat="1">
      <c r="T465" s="39"/>
      <c r="W465" s="27"/>
    </row>
    <row r="466" spans="20:23" customFormat="1">
      <c r="T466" s="39"/>
      <c r="W466" s="27"/>
    </row>
    <row r="467" spans="20:23" customFormat="1">
      <c r="T467" s="39"/>
      <c r="W467" s="27"/>
    </row>
    <row r="468" spans="20:23" customFormat="1">
      <c r="T468" s="39"/>
      <c r="W468" s="27"/>
    </row>
    <row r="469" spans="20:23" customFormat="1">
      <c r="T469" s="39"/>
      <c r="W469" s="27"/>
    </row>
    <row r="470" spans="20:23" customFormat="1">
      <c r="T470" s="39"/>
      <c r="W470" s="27"/>
    </row>
    <row r="471" spans="20:23" customFormat="1">
      <c r="T471" s="39"/>
      <c r="W471" s="27"/>
    </row>
    <row r="472" spans="20:23" customFormat="1">
      <c r="T472" s="39"/>
      <c r="W472" s="27"/>
    </row>
    <row r="473" spans="20:23" customFormat="1">
      <c r="T473" s="39"/>
      <c r="W473" s="27"/>
    </row>
    <row r="474" spans="20:23" customFormat="1">
      <c r="T474" s="39"/>
      <c r="W474" s="27"/>
    </row>
    <row r="475" spans="20:23" customFormat="1">
      <c r="T475" s="39"/>
      <c r="W475" s="27"/>
    </row>
    <row r="476" spans="20:23" customFormat="1">
      <c r="T476" s="39"/>
      <c r="W476" s="27"/>
    </row>
    <row r="477" spans="20:23" customFormat="1">
      <c r="T477" s="39"/>
      <c r="W477" s="27"/>
    </row>
    <row r="478" spans="20:23" customFormat="1">
      <c r="T478" s="39"/>
      <c r="W478" s="27"/>
    </row>
    <row r="479" spans="20:23" customFormat="1">
      <c r="T479" s="39"/>
      <c r="W479" s="27"/>
    </row>
    <row r="480" spans="20:23" customFormat="1">
      <c r="T480" s="39"/>
      <c r="W480" s="27"/>
    </row>
    <row r="481" spans="20:23" customFormat="1">
      <c r="T481" s="39"/>
      <c r="W481" s="27"/>
    </row>
    <row r="482" spans="20:23" customFormat="1">
      <c r="T482" s="39"/>
      <c r="W482" s="27"/>
    </row>
    <row r="483" spans="20:23" customFormat="1">
      <c r="T483" s="39"/>
      <c r="W483" s="27"/>
    </row>
    <row r="484" spans="20:23" customFormat="1">
      <c r="T484" s="39"/>
      <c r="W484" s="27"/>
    </row>
    <row r="485" spans="20:23" customFormat="1">
      <c r="T485" s="39"/>
      <c r="W485" s="27"/>
    </row>
    <row r="486" spans="20:23" customFormat="1">
      <c r="T486" s="39"/>
      <c r="W486" s="27"/>
    </row>
    <row r="487" spans="20:23" customFormat="1">
      <c r="T487" s="39"/>
      <c r="W487" s="27"/>
    </row>
    <row r="488" spans="20:23" customFormat="1">
      <c r="T488" s="39"/>
      <c r="W488" s="27"/>
    </row>
    <row r="489" spans="20:23" customFormat="1">
      <c r="T489" s="39"/>
      <c r="W489" s="27"/>
    </row>
    <row r="490" spans="20:23" customFormat="1">
      <c r="T490" s="39"/>
      <c r="W490" s="27"/>
    </row>
    <row r="491" spans="20:23" customFormat="1">
      <c r="T491" s="39"/>
      <c r="W491" s="27"/>
    </row>
    <row r="492" spans="20:23" customFormat="1">
      <c r="T492" s="39"/>
      <c r="W492" s="27"/>
    </row>
    <row r="493" spans="20:23" customFormat="1">
      <c r="T493" s="39"/>
      <c r="W493" s="27"/>
    </row>
    <row r="494" spans="20:23" customFormat="1">
      <c r="T494" s="39"/>
      <c r="W494" s="27"/>
    </row>
    <row r="495" spans="20:23" customFormat="1">
      <c r="T495" s="39"/>
      <c r="W495" s="27"/>
    </row>
    <row r="496" spans="20:23" customFormat="1">
      <c r="T496" s="39"/>
      <c r="W496" s="27"/>
    </row>
    <row r="497" spans="20:23" customFormat="1">
      <c r="T497" s="39"/>
      <c r="W497" s="27"/>
    </row>
    <row r="498" spans="20:23" customFormat="1">
      <c r="T498" s="39"/>
      <c r="W498" s="27"/>
    </row>
    <row r="499" spans="20:23" customFormat="1">
      <c r="T499" s="39"/>
      <c r="W499" s="27"/>
    </row>
    <row r="500" spans="20:23" customFormat="1">
      <c r="T500" s="39"/>
      <c r="W500" s="27"/>
    </row>
    <row r="501" spans="20:23" customFormat="1">
      <c r="T501" s="39"/>
      <c r="W501" s="27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84">
        <v>17</v>
      </c>
      <c r="C3" s="85">
        <v>3400</v>
      </c>
      <c r="D3" s="86">
        <f>C3</f>
        <v>3400</v>
      </c>
      <c r="E3" s="1">
        <v>4</v>
      </c>
      <c r="F3" s="1">
        <v>4</v>
      </c>
      <c r="G3" s="1">
        <v>5</v>
      </c>
      <c r="H3" s="1">
        <v>5</v>
      </c>
      <c r="I3" s="62">
        <f>D3*0.16*6.38^2/(E3*F3*G3*H3*M3)</f>
        <v>36.905322666666663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87">
        <v>17</v>
      </c>
      <c r="C4" s="88">
        <v>700</v>
      </c>
      <c r="D4" s="89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2">
        <f>D4*0.16*6.38^2/(E4*F4*G4*H4*M4)</f>
        <v>36.905322666666663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90">
        <f>B4</f>
        <v>17</v>
      </c>
      <c r="C5" s="1">
        <v>5000</v>
      </c>
      <c r="D5" s="91">
        <f>IFERROR(C5*D4/C4,0)</f>
        <v>24285.714285714286</v>
      </c>
      <c r="E5" s="92">
        <v>4</v>
      </c>
      <c r="F5" s="92">
        <v>4</v>
      </c>
      <c r="G5" s="92">
        <v>15</v>
      </c>
      <c r="H5" s="93">
        <v>15</v>
      </c>
      <c r="I5" s="62">
        <f t="shared" ref="I5:I15" si="3">D5*0.16*6.38^2/(E5*F5*G5*H5*M5)</f>
        <v>29.289938624338625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12</v>
      </c>
      <c r="B6" s="94">
        <v>29</v>
      </c>
      <c r="C6" s="1">
        <v>275</v>
      </c>
      <c r="D6" s="95">
        <f>D5</f>
        <v>24285.714285714286</v>
      </c>
      <c r="E6" s="96">
        <f>E5</f>
        <v>4</v>
      </c>
      <c r="F6" s="96">
        <f t="shared" ref="F6:H6" si="5">F5</f>
        <v>4</v>
      </c>
      <c r="G6" s="96">
        <f t="shared" si="5"/>
        <v>15</v>
      </c>
      <c r="H6" s="97">
        <f t="shared" si="5"/>
        <v>15</v>
      </c>
      <c r="I6" s="62">
        <f>D6*0.16*6.38^2/(E6*F6*G6*H6*M6)</f>
        <v>29.289938624338625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12</v>
      </c>
      <c r="B7" s="90">
        <v>29</v>
      </c>
      <c r="C7" s="1">
        <v>4000</v>
      </c>
      <c r="D7" s="98">
        <f>IFERROR(C7*D6/C6,0)</f>
        <v>353246.75324675324</v>
      </c>
      <c r="E7" s="99">
        <v>4</v>
      </c>
      <c r="F7" s="99">
        <v>4</v>
      </c>
      <c r="G7" s="99">
        <v>60</v>
      </c>
      <c r="H7" s="100">
        <v>60</v>
      </c>
      <c r="I7" s="62">
        <f t="shared" si="3"/>
        <v>26.627216931216935</v>
      </c>
      <c r="K7" s="62">
        <f>E7/857*1000</f>
        <v>4.6674445740956818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21</v>
      </c>
      <c r="B8" s="94">
        <v>38</v>
      </c>
      <c r="C8" s="1">
        <v>250</v>
      </c>
      <c r="D8" s="101">
        <f>D7</f>
        <v>353246.75324675324</v>
      </c>
      <c r="E8" s="102">
        <f>E7</f>
        <v>4</v>
      </c>
      <c r="F8" s="102">
        <f t="shared" ref="F8:H14" si="6">F7</f>
        <v>4</v>
      </c>
      <c r="G8" s="102">
        <f t="shared" si="6"/>
        <v>60</v>
      </c>
      <c r="H8" s="103">
        <f t="shared" si="6"/>
        <v>60</v>
      </c>
      <c r="I8" s="62">
        <f t="shared" si="3"/>
        <v>26.627216931216935</v>
      </c>
      <c r="K8" s="62">
        <f t="shared" si="0"/>
        <v>4.6674445740956818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21</v>
      </c>
      <c r="B9" s="90">
        <v>38</v>
      </c>
      <c r="C9" s="1">
        <v>4600</v>
      </c>
      <c r="D9" s="98">
        <f>IFERROR(C9*D8/C8,0)</f>
        <v>6499740.2597402604</v>
      </c>
      <c r="E9" s="99">
        <v>10</v>
      </c>
      <c r="F9" s="99">
        <v>20</v>
      </c>
      <c r="G9" s="99">
        <v>80</v>
      </c>
      <c r="H9" s="100">
        <v>90</v>
      </c>
      <c r="I9" s="62">
        <f t="shared" si="3"/>
        <v>19.597631661375665</v>
      </c>
      <c r="K9" s="62">
        <f t="shared" si="0"/>
        <v>11.668611435239207</v>
      </c>
      <c r="L9" s="62">
        <f t="shared" si="1"/>
        <v>153.84615384615387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27</v>
      </c>
      <c r="B10" s="94">
        <v>44</v>
      </c>
      <c r="C10" s="1">
        <v>475</v>
      </c>
      <c r="D10" s="101">
        <f>D9</f>
        <v>6499740.2597402604</v>
      </c>
      <c r="E10" s="102">
        <f>E9</f>
        <v>10</v>
      </c>
      <c r="F10" s="102">
        <f t="shared" si="6"/>
        <v>20</v>
      </c>
      <c r="G10" s="102">
        <f t="shared" si="6"/>
        <v>80</v>
      </c>
      <c r="H10" s="103">
        <f t="shared" si="6"/>
        <v>90</v>
      </c>
      <c r="I10" s="62">
        <f t="shared" si="3"/>
        <v>19.597631661375665</v>
      </c>
      <c r="K10" s="62">
        <f t="shared" si="0"/>
        <v>11.668611435239207</v>
      </c>
      <c r="L10" s="62">
        <f t="shared" si="1"/>
        <v>153.84615384615387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27</v>
      </c>
      <c r="B11" s="94">
        <v>44</v>
      </c>
      <c r="C11" s="1">
        <v>850</v>
      </c>
      <c r="D11" s="98">
        <f>IFERROR(C11*D10/C10,0)</f>
        <v>11631114.149008887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17.534723065441383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25.5</v>
      </c>
      <c r="B12" s="94">
        <v>42.5</v>
      </c>
      <c r="C12" s="1">
        <v>2350</v>
      </c>
      <c r="D12" s="101">
        <f>D11</f>
        <v>11631114.149008887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17.534723065441383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27</v>
      </c>
      <c r="B13" s="90">
        <v>44</v>
      </c>
      <c r="C13" s="1"/>
      <c r="D13" s="104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thickBot="1">
      <c r="A14" s="35">
        <f t="shared" si="4"/>
        <v>27</v>
      </c>
      <c r="B14" s="94">
        <v>44</v>
      </c>
      <c r="C14" s="1"/>
      <c r="D14" s="101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27</v>
      </c>
      <c r="B15" s="90">
        <v>44</v>
      </c>
      <c r="C15" s="1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7"/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68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70">
        <f>-1.4-7</f>
        <v>-8.4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70">
        <f>2+6.5</f>
        <v>8.5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72">
        <f>P18+0.449</f>
        <v>-7.0510000000000002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11631114.149008887</v>
      </c>
      <c r="F19" s="74">
        <f t="shared" ref="F19" si="8">E19*0.00000000016</f>
        <v>1.8609782638414217E-3</v>
      </c>
      <c r="G19" s="74">
        <f t="shared" ref="G19" si="9">D19*A19/F19</f>
        <v>1.5742728203351253E-4</v>
      </c>
      <c r="H19" s="75">
        <f t="shared" ref="H19" si="10">1/G19</f>
        <v>6352.1391405787199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41.349062762512233</v>
      </c>
      <c r="M19" s="3" t="s">
        <v>141</v>
      </c>
      <c r="Y19" s="76"/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 s="108">
        <v>6</v>
      </c>
      <c r="P22" s="109">
        <v>5.86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 thickBot="1">
      <c r="D23"/>
      <c r="L23" s="40"/>
      <c r="N23" s="45" t="s">
        <v>51</v>
      </c>
      <c r="O23" s="110">
        <v>4.4999999999999998E-2</v>
      </c>
      <c r="P23" s="111">
        <v>0.16</v>
      </c>
      <c r="AB23"/>
      <c r="AC23"/>
      <c r="AD23"/>
    </row>
    <row r="24" spans="1:31" ht="14.45">
      <c r="H24" t="s">
        <v>142</v>
      </c>
      <c r="I24" t="s">
        <v>16</v>
      </c>
      <c r="J24" t="s">
        <v>156</v>
      </c>
      <c r="L24" s="40"/>
      <c r="N24" t="s">
        <v>157</v>
      </c>
      <c r="O24" s="79">
        <f>O23*1000</f>
        <v>45</v>
      </c>
      <c r="P24" s="79">
        <f>P23*1000</f>
        <v>160</v>
      </c>
    </row>
    <row r="25" spans="1:31" ht="14.45">
      <c r="A25" s="26" t="s">
        <v>143</v>
      </c>
      <c r="C25" t="s">
        <v>144</v>
      </c>
      <c r="D25" s="27" t="s">
        <v>145</v>
      </c>
      <c r="H25" s="112">
        <f>D12*1.6E-19</f>
        <v>1.8609782638414218E-12</v>
      </c>
      <c r="I25" s="113">
        <f>H25*1000000000</f>
        <v>1.8609782638414219E-3</v>
      </c>
      <c r="J25" s="113">
        <f>I25*2</f>
        <v>3.7219565276828438E-3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J26" t="s">
        <v>158</v>
      </c>
      <c r="AB26"/>
      <c r="AC26"/>
      <c r="AD26"/>
    </row>
    <row r="27" spans="1:31" thickBot="1">
      <c r="A27" s="26" t="s">
        <v>146</v>
      </c>
      <c r="AB27"/>
      <c r="AC27"/>
      <c r="AD27"/>
    </row>
    <row r="28" spans="1:31" thickBot="1">
      <c r="A28" s="28"/>
      <c r="B28" s="114" t="s">
        <v>95</v>
      </c>
      <c r="C28" s="115" t="s">
        <v>96</v>
      </c>
      <c r="D28" s="116" t="s">
        <v>97</v>
      </c>
      <c r="E28" s="117" t="s">
        <v>98</v>
      </c>
      <c r="F28" s="117" t="s">
        <v>99</v>
      </c>
      <c r="G28" s="117" t="s">
        <v>65</v>
      </c>
      <c r="H28" s="118" t="s">
        <v>100</v>
      </c>
      <c r="I28" s="119" t="s">
        <v>86</v>
      </c>
      <c r="J28" s="120" t="s">
        <v>87</v>
      </c>
      <c r="K28" s="121" t="s">
        <v>88</v>
      </c>
      <c r="L28" s="32" t="s">
        <v>89</v>
      </c>
      <c r="M28" s="32" t="s">
        <v>90</v>
      </c>
      <c r="N28" s="32" t="s">
        <v>91</v>
      </c>
      <c r="O28" s="32" t="s">
        <v>159</v>
      </c>
      <c r="P28" s="34" t="s">
        <v>93</v>
      </c>
      <c r="R28" s="27" t="s">
        <v>152</v>
      </c>
      <c r="S28" s="27" t="s">
        <v>153</v>
      </c>
      <c r="T28" s="39" t="s">
        <v>154</v>
      </c>
      <c r="U28" s="1" t="s">
        <v>72</v>
      </c>
      <c r="AB28"/>
      <c r="AC28"/>
      <c r="AD28"/>
    </row>
    <row r="29" spans="1:31" thickTop="1">
      <c r="A29" s="35">
        <v>1</v>
      </c>
      <c r="B29" s="122">
        <v>0</v>
      </c>
      <c r="C29" s="123">
        <f>$T$16</f>
        <v>-8.4</v>
      </c>
      <c r="D29" s="124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5">
        <f>$O$23</f>
        <v>4.4999999999999998E-2</v>
      </c>
      <c r="J29" s="126">
        <v>4000</v>
      </c>
      <c r="K29" s="127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1">
        <f>SUM(O29:O198)</f>
        <v>1289.6442944185324</v>
      </c>
      <c r="S29" s="79">
        <f>R29/60</f>
        <v>21.494071573642206</v>
      </c>
      <c r="T29" s="39">
        <f>P29*1000</f>
        <v>20.677536264904685</v>
      </c>
      <c r="U29" s="27">
        <f>N29/T29</f>
        <v>1125000.0000000002</v>
      </c>
      <c r="AB29"/>
      <c r="AC29"/>
      <c r="AD29"/>
    </row>
    <row r="30" spans="1:31" ht="14.45">
      <c r="A30" s="35">
        <f t="shared" ref="A30:A31" si="13">A29+1</f>
        <v>2</v>
      </c>
      <c r="B30" s="122">
        <v>0</v>
      </c>
      <c r="C30" s="123">
        <f>C29+0.001</f>
        <v>-8.3990000000000009</v>
      </c>
      <c r="D30" s="124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5">
        <f t="shared" ref="I30:I93" si="16">$O$23</f>
        <v>4.4999999999999998E-2</v>
      </c>
      <c r="J30" s="126">
        <v>4000</v>
      </c>
      <c r="K30" s="127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27">
        <f t="shared" ref="U30:U93" si="21">N30/T30</f>
        <v>1125000.0000000002</v>
      </c>
      <c r="AB30"/>
      <c r="AC30"/>
      <c r="AD30"/>
    </row>
    <row r="31" spans="1:31" ht="14.45">
      <c r="A31" s="35">
        <f t="shared" si="13"/>
        <v>3</v>
      </c>
      <c r="B31" s="122">
        <v>0</v>
      </c>
      <c r="C31" s="123">
        <f>C30+0.001</f>
        <v>-8.3980000000000015</v>
      </c>
      <c r="D31" s="124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5">
        <f t="shared" si="16"/>
        <v>4.4999999999999998E-2</v>
      </c>
      <c r="J31" s="126">
        <v>4000</v>
      </c>
      <c r="K31" s="127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27">
        <f t="shared" si="21"/>
        <v>1125000.0000000002</v>
      </c>
      <c r="AB31"/>
      <c r="AC31"/>
      <c r="AD31"/>
    </row>
    <row r="32" spans="1:31" ht="14.45">
      <c r="A32" s="35">
        <f>A31+1</f>
        <v>4</v>
      </c>
      <c r="B32" s="122">
        <v>0</v>
      </c>
      <c r="C32" s="123">
        <f t="shared" ref="C32:C95" si="23">C31+0.001</f>
        <v>-8.397000000000002</v>
      </c>
      <c r="D32" s="124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5">
        <f t="shared" si="16"/>
        <v>4.4999999999999998E-2</v>
      </c>
      <c r="J32" s="126">
        <v>4000</v>
      </c>
      <c r="K32" s="127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27">
        <f t="shared" si="21"/>
        <v>1125000.0000000002</v>
      </c>
      <c r="AB32"/>
      <c r="AC32"/>
      <c r="AD32"/>
    </row>
    <row r="33" spans="1:30" ht="14.45">
      <c r="A33" s="35">
        <f t="shared" ref="A33:A36" si="29">A32+1</f>
        <v>5</v>
      </c>
      <c r="B33" s="122">
        <v>0</v>
      </c>
      <c r="C33" s="123">
        <f t="shared" si="23"/>
        <v>-8.3960000000000026</v>
      </c>
      <c r="D33" s="124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5">
        <f t="shared" si="16"/>
        <v>4.4999999999999998E-2</v>
      </c>
      <c r="J33" s="126">
        <v>4000</v>
      </c>
      <c r="K33" s="127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27">
        <f t="shared" si="21"/>
        <v>1125000.0000000002</v>
      </c>
      <c r="AB33"/>
      <c r="AC33"/>
      <c r="AD33"/>
    </row>
    <row r="34" spans="1:30" ht="14.45">
      <c r="A34" s="35">
        <f t="shared" si="29"/>
        <v>6</v>
      </c>
      <c r="B34" s="122">
        <v>0</v>
      </c>
      <c r="C34" s="123">
        <f t="shared" si="23"/>
        <v>-8.3950000000000031</v>
      </c>
      <c r="D34" s="124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5">
        <f t="shared" si="16"/>
        <v>4.4999999999999998E-2</v>
      </c>
      <c r="J34" s="126">
        <v>4000</v>
      </c>
      <c r="K34" s="127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27">
        <f t="shared" si="21"/>
        <v>1125000.0000000002</v>
      </c>
      <c r="AB34"/>
      <c r="AC34"/>
      <c r="AD34"/>
    </row>
    <row r="35" spans="1:30" ht="14.45">
      <c r="A35" s="35">
        <f t="shared" si="29"/>
        <v>7</v>
      </c>
      <c r="B35" s="122">
        <v>0</v>
      </c>
      <c r="C35" s="123">
        <f t="shared" si="23"/>
        <v>-8.3940000000000037</v>
      </c>
      <c r="D35" s="124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5">
        <f t="shared" si="16"/>
        <v>4.4999999999999998E-2</v>
      </c>
      <c r="J35" s="126">
        <v>4000</v>
      </c>
      <c r="K35" s="127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27">
        <f t="shared" si="21"/>
        <v>1125000.0000000002</v>
      </c>
      <c r="AB35"/>
      <c r="AC35"/>
      <c r="AD35"/>
    </row>
    <row r="36" spans="1:30" ht="14.45">
      <c r="A36" s="35">
        <f t="shared" si="29"/>
        <v>8</v>
      </c>
      <c r="B36" s="122">
        <v>0</v>
      </c>
      <c r="C36" s="123">
        <f t="shared" si="23"/>
        <v>-8.3930000000000042</v>
      </c>
      <c r="D36" s="124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5">
        <f t="shared" si="16"/>
        <v>4.4999999999999998E-2</v>
      </c>
      <c r="J36" s="126">
        <v>4000</v>
      </c>
      <c r="K36" s="127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27">
        <f t="shared" si="21"/>
        <v>1125000.0000000002</v>
      </c>
      <c r="AB36"/>
      <c r="AC36"/>
      <c r="AD36"/>
    </row>
    <row r="37" spans="1:30" ht="14.45">
      <c r="A37" s="35">
        <f>A36+1</f>
        <v>9</v>
      </c>
      <c r="B37" s="122">
        <v>0</v>
      </c>
      <c r="C37" s="123">
        <f t="shared" si="23"/>
        <v>-8.3920000000000048</v>
      </c>
      <c r="D37" s="124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5">
        <f t="shared" si="16"/>
        <v>4.4999999999999998E-2</v>
      </c>
      <c r="J37" s="126">
        <v>4000</v>
      </c>
      <c r="K37" s="127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27">
        <f t="shared" si="21"/>
        <v>1125000.0000000002</v>
      </c>
      <c r="AB37"/>
      <c r="AC37"/>
      <c r="AD37"/>
    </row>
    <row r="38" spans="1:30" ht="14.45">
      <c r="A38" s="35">
        <f t="shared" ref="A38:A101" si="41">A37+1</f>
        <v>10</v>
      </c>
      <c r="B38" s="122">
        <v>0</v>
      </c>
      <c r="C38" s="123">
        <f t="shared" si="23"/>
        <v>-8.3910000000000053</v>
      </c>
      <c r="D38" s="124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5">
        <f t="shared" si="16"/>
        <v>4.4999999999999998E-2</v>
      </c>
      <c r="J38" s="126">
        <v>4000</v>
      </c>
      <c r="K38" s="127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27">
        <f t="shared" si="21"/>
        <v>1125000.0000000002</v>
      </c>
      <c r="AB38"/>
      <c r="AC38"/>
      <c r="AD38"/>
    </row>
    <row r="39" spans="1:30" ht="14.45">
      <c r="A39" s="35">
        <f t="shared" si="41"/>
        <v>11</v>
      </c>
      <c r="B39" s="122">
        <v>0</v>
      </c>
      <c r="C39" s="123">
        <f t="shared" si="23"/>
        <v>-8.3900000000000059</v>
      </c>
      <c r="D39" s="124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5">
        <f t="shared" si="16"/>
        <v>4.4999999999999998E-2</v>
      </c>
      <c r="J39" s="126">
        <v>4000</v>
      </c>
      <c r="K39" s="127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27">
        <f t="shared" si="21"/>
        <v>1125000.0000000002</v>
      </c>
      <c r="AB39"/>
      <c r="AC39"/>
      <c r="AD39"/>
    </row>
    <row r="40" spans="1:30" ht="14.45">
      <c r="A40" s="35">
        <f t="shared" si="41"/>
        <v>12</v>
      </c>
      <c r="B40" s="122">
        <v>0</v>
      </c>
      <c r="C40" s="123">
        <f t="shared" si="23"/>
        <v>-8.3890000000000065</v>
      </c>
      <c r="D40" s="124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5">
        <f t="shared" si="16"/>
        <v>4.4999999999999998E-2</v>
      </c>
      <c r="J40" s="126">
        <v>4000</v>
      </c>
      <c r="K40" s="127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27">
        <f t="shared" si="21"/>
        <v>1125000.0000000002</v>
      </c>
      <c r="AB40"/>
      <c r="AC40"/>
      <c r="AD40"/>
    </row>
    <row r="41" spans="1:30" ht="14.45">
      <c r="A41" s="35">
        <f t="shared" si="41"/>
        <v>13</v>
      </c>
      <c r="B41" s="122">
        <v>0</v>
      </c>
      <c r="C41" s="123">
        <f t="shared" si="23"/>
        <v>-8.388000000000007</v>
      </c>
      <c r="D41" s="124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5">
        <f t="shared" si="16"/>
        <v>4.4999999999999998E-2</v>
      </c>
      <c r="J41" s="126">
        <v>4000</v>
      </c>
      <c r="K41" s="127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27">
        <f t="shared" si="21"/>
        <v>1125000.0000000002</v>
      </c>
      <c r="AB41"/>
      <c r="AC41"/>
      <c r="AD41"/>
    </row>
    <row r="42" spans="1:30" ht="14.45">
      <c r="A42" s="35">
        <f>A41+1</f>
        <v>14</v>
      </c>
      <c r="B42" s="122">
        <v>0</v>
      </c>
      <c r="C42" s="123">
        <f t="shared" si="23"/>
        <v>-8.3870000000000076</v>
      </c>
      <c r="D42" s="124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5">
        <f t="shared" si="16"/>
        <v>4.4999999999999998E-2</v>
      </c>
      <c r="J42" s="126">
        <v>4000</v>
      </c>
      <c r="K42" s="127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27">
        <f t="shared" si="21"/>
        <v>1125000.0000000002</v>
      </c>
      <c r="AB42"/>
      <c r="AC42"/>
      <c r="AD42"/>
    </row>
    <row r="43" spans="1:30" ht="14.45">
      <c r="A43" s="35">
        <f t="shared" si="41"/>
        <v>15</v>
      </c>
      <c r="B43" s="122">
        <v>0</v>
      </c>
      <c r="C43" s="123">
        <f t="shared" si="23"/>
        <v>-8.3860000000000081</v>
      </c>
      <c r="D43" s="124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5">
        <f t="shared" si="16"/>
        <v>4.4999999999999998E-2</v>
      </c>
      <c r="J43" s="126">
        <v>4000</v>
      </c>
      <c r="K43" s="127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27">
        <f t="shared" si="21"/>
        <v>1125000.0000000002</v>
      </c>
      <c r="AB43"/>
      <c r="AC43"/>
      <c r="AD43"/>
    </row>
    <row r="44" spans="1:30" ht="14.45">
      <c r="A44" s="35">
        <f t="shared" si="41"/>
        <v>16</v>
      </c>
      <c r="B44" s="122">
        <v>0</v>
      </c>
      <c r="C44" s="123">
        <f t="shared" si="23"/>
        <v>-8.3850000000000087</v>
      </c>
      <c r="D44" s="124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5">
        <f t="shared" si="16"/>
        <v>4.4999999999999998E-2</v>
      </c>
      <c r="J44" s="126">
        <v>4000</v>
      </c>
      <c r="K44" s="127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27">
        <f t="shared" si="21"/>
        <v>1125000.0000000002</v>
      </c>
      <c r="AB44"/>
      <c r="AC44"/>
      <c r="AD44"/>
    </row>
    <row r="45" spans="1:30" ht="14.45">
      <c r="A45" s="35">
        <f t="shared" si="41"/>
        <v>17</v>
      </c>
      <c r="B45" s="122">
        <v>0</v>
      </c>
      <c r="C45" s="123">
        <f t="shared" si="23"/>
        <v>-8.3840000000000092</v>
      </c>
      <c r="D45" s="124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5">
        <f t="shared" si="16"/>
        <v>4.4999999999999998E-2</v>
      </c>
      <c r="J45" s="126">
        <v>4000</v>
      </c>
      <c r="K45" s="127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27">
        <f t="shared" si="21"/>
        <v>1125000.0000000002</v>
      </c>
      <c r="AB45"/>
      <c r="AC45"/>
      <c r="AD45"/>
    </row>
    <row r="46" spans="1:30" ht="14.45">
      <c r="A46" s="35">
        <f t="shared" si="41"/>
        <v>18</v>
      </c>
      <c r="B46" s="122">
        <v>0</v>
      </c>
      <c r="C46" s="123">
        <f t="shared" si="23"/>
        <v>-8.3830000000000098</v>
      </c>
      <c r="D46" s="124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5">
        <f t="shared" si="16"/>
        <v>4.4999999999999998E-2</v>
      </c>
      <c r="J46" s="126">
        <v>4000</v>
      </c>
      <c r="K46" s="127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27">
        <f t="shared" si="21"/>
        <v>1125000.0000000002</v>
      </c>
      <c r="AB46"/>
      <c r="AC46"/>
      <c r="AD46"/>
    </row>
    <row r="47" spans="1:30" ht="14.45">
      <c r="A47" s="35">
        <f>A46+1</f>
        <v>19</v>
      </c>
      <c r="B47" s="122">
        <v>0</v>
      </c>
      <c r="C47" s="123">
        <f t="shared" si="23"/>
        <v>-8.3820000000000103</v>
      </c>
      <c r="D47" s="124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5">
        <f t="shared" si="16"/>
        <v>4.4999999999999998E-2</v>
      </c>
      <c r="J47" s="126">
        <v>4000</v>
      </c>
      <c r="K47" s="127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27">
        <f t="shared" si="21"/>
        <v>1125000.0000000002</v>
      </c>
      <c r="AB47"/>
      <c r="AC47"/>
      <c r="AD47"/>
    </row>
    <row r="48" spans="1:30" ht="14.45">
      <c r="A48" s="35">
        <f t="shared" si="41"/>
        <v>20</v>
      </c>
      <c r="B48" s="122">
        <v>0</v>
      </c>
      <c r="C48" s="123">
        <f t="shared" si="23"/>
        <v>-8.3810000000000109</v>
      </c>
      <c r="D48" s="124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5">
        <f t="shared" si="16"/>
        <v>4.4999999999999998E-2</v>
      </c>
      <c r="J48" s="126">
        <v>4000</v>
      </c>
      <c r="K48" s="127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27">
        <f t="shared" si="21"/>
        <v>1125000.0000000002</v>
      </c>
      <c r="AB48"/>
      <c r="AC48"/>
      <c r="AD48"/>
    </row>
    <row r="49" spans="1:30" ht="14.45">
      <c r="A49" s="35">
        <f t="shared" si="41"/>
        <v>21</v>
      </c>
      <c r="B49" s="122">
        <v>0</v>
      </c>
      <c r="C49" s="123">
        <f t="shared" si="23"/>
        <v>-8.3800000000000114</v>
      </c>
      <c r="D49" s="124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5">
        <f t="shared" si="16"/>
        <v>4.4999999999999998E-2</v>
      </c>
      <c r="J49" s="126">
        <v>4000</v>
      </c>
      <c r="K49" s="127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27">
        <f t="shared" si="21"/>
        <v>1125000.0000000002</v>
      </c>
      <c r="AB49"/>
      <c r="AC49"/>
      <c r="AD49"/>
    </row>
    <row r="50" spans="1:30" ht="14.45">
      <c r="A50" s="35">
        <f t="shared" si="41"/>
        <v>22</v>
      </c>
      <c r="B50" s="122">
        <v>0</v>
      </c>
      <c r="C50" s="123">
        <f t="shared" si="23"/>
        <v>-8.379000000000012</v>
      </c>
      <c r="D50" s="124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5">
        <f t="shared" si="16"/>
        <v>4.4999999999999998E-2</v>
      </c>
      <c r="J50" s="126">
        <v>4000</v>
      </c>
      <c r="K50" s="127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27">
        <f t="shared" si="21"/>
        <v>1125000.0000000002</v>
      </c>
      <c r="AB50"/>
      <c r="AC50"/>
      <c r="AD50"/>
    </row>
    <row r="51" spans="1:30" ht="14.45">
      <c r="A51" s="35">
        <f t="shared" si="41"/>
        <v>23</v>
      </c>
      <c r="B51" s="122">
        <v>0</v>
      </c>
      <c r="C51" s="123">
        <f t="shared" si="23"/>
        <v>-8.3780000000000125</v>
      </c>
      <c r="D51" s="124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5">
        <f t="shared" si="16"/>
        <v>4.4999999999999998E-2</v>
      </c>
      <c r="J51" s="126">
        <v>4000</v>
      </c>
      <c r="K51" s="127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27">
        <f t="shared" si="21"/>
        <v>1125000.0000000002</v>
      </c>
      <c r="AB51"/>
      <c r="AC51"/>
      <c r="AD51"/>
    </row>
    <row r="52" spans="1:30" ht="14.45">
      <c r="A52" s="35">
        <f>A51+1</f>
        <v>24</v>
      </c>
      <c r="B52" s="122">
        <v>0</v>
      </c>
      <c r="C52" s="123">
        <f t="shared" si="23"/>
        <v>-8.3770000000000131</v>
      </c>
      <c r="D52" s="124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5">
        <f t="shared" si="16"/>
        <v>4.4999999999999998E-2</v>
      </c>
      <c r="J52" s="126">
        <v>4000</v>
      </c>
      <c r="K52" s="127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27">
        <f t="shared" si="21"/>
        <v>1125000.0000000002</v>
      </c>
      <c r="AB52"/>
      <c r="AC52"/>
      <c r="AD52"/>
    </row>
    <row r="53" spans="1:30" ht="14.45">
      <c r="A53" s="35">
        <f t="shared" si="41"/>
        <v>25</v>
      </c>
      <c r="B53" s="122">
        <v>0</v>
      </c>
      <c r="C53" s="123">
        <f t="shared" si="23"/>
        <v>-8.3760000000000137</v>
      </c>
      <c r="D53" s="124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5">
        <f t="shared" si="16"/>
        <v>4.4999999999999998E-2</v>
      </c>
      <c r="J53" s="126">
        <v>4000</v>
      </c>
      <c r="K53" s="127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27">
        <f t="shared" si="21"/>
        <v>1125000.0000000002</v>
      </c>
      <c r="AB53"/>
      <c r="AC53"/>
      <c r="AD53"/>
    </row>
    <row r="54" spans="1:30" ht="14.45">
      <c r="A54" s="35">
        <f t="shared" si="41"/>
        <v>26</v>
      </c>
      <c r="B54" s="122">
        <v>0</v>
      </c>
      <c r="C54" s="123">
        <f t="shared" si="23"/>
        <v>-8.3750000000000142</v>
      </c>
      <c r="D54" s="124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5">
        <f t="shared" si="16"/>
        <v>4.4999999999999998E-2</v>
      </c>
      <c r="J54" s="126">
        <v>4000</v>
      </c>
      <c r="K54" s="127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27">
        <f t="shared" si="21"/>
        <v>1125000.0000000002</v>
      </c>
      <c r="AB54"/>
      <c r="AC54"/>
      <c r="AD54"/>
    </row>
    <row r="55" spans="1:30" ht="14.45">
      <c r="A55" s="35">
        <f t="shared" si="41"/>
        <v>27</v>
      </c>
      <c r="B55" s="122">
        <v>0</v>
      </c>
      <c r="C55" s="123">
        <f t="shared" si="23"/>
        <v>-8.3740000000000148</v>
      </c>
      <c r="D55" s="124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5">
        <f t="shared" si="16"/>
        <v>4.4999999999999998E-2</v>
      </c>
      <c r="J55" s="126">
        <v>4000</v>
      </c>
      <c r="K55" s="127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27">
        <f t="shared" si="21"/>
        <v>1125000.0000000002</v>
      </c>
      <c r="AB55"/>
      <c r="AC55"/>
      <c r="AD55"/>
    </row>
    <row r="56" spans="1:30" ht="14.45">
      <c r="A56" s="35">
        <f t="shared" si="41"/>
        <v>28</v>
      </c>
      <c r="B56" s="122">
        <v>0</v>
      </c>
      <c r="C56" s="123">
        <f t="shared" si="23"/>
        <v>-8.3730000000000153</v>
      </c>
      <c r="D56" s="124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5">
        <f t="shared" si="16"/>
        <v>4.4999999999999998E-2</v>
      </c>
      <c r="J56" s="126">
        <v>4000</v>
      </c>
      <c r="K56" s="127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27">
        <f t="shared" si="21"/>
        <v>1125000.0000000002</v>
      </c>
      <c r="AB56"/>
      <c r="AC56"/>
      <c r="AD56"/>
    </row>
    <row r="57" spans="1:30" ht="14.45">
      <c r="A57" s="35">
        <f>A56+1</f>
        <v>29</v>
      </c>
      <c r="B57" s="122">
        <v>0</v>
      </c>
      <c r="C57" s="123">
        <f t="shared" si="23"/>
        <v>-8.3720000000000159</v>
      </c>
      <c r="D57" s="124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5">
        <f t="shared" si="16"/>
        <v>4.4999999999999998E-2</v>
      </c>
      <c r="J57" s="126">
        <v>4000</v>
      </c>
      <c r="K57" s="127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27">
        <f t="shared" si="21"/>
        <v>1125000.0000000002</v>
      </c>
      <c r="AB57"/>
      <c r="AC57"/>
      <c r="AD57"/>
    </row>
    <row r="58" spans="1:30" ht="14.45">
      <c r="A58" s="35">
        <f t="shared" si="41"/>
        <v>30</v>
      </c>
      <c r="B58" s="122">
        <v>0</v>
      </c>
      <c r="C58" s="123">
        <f t="shared" si="23"/>
        <v>-8.3710000000000164</v>
      </c>
      <c r="D58" s="124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5">
        <f t="shared" si="16"/>
        <v>4.4999999999999998E-2</v>
      </c>
      <c r="J58" s="126">
        <v>4000</v>
      </c>
      <c r="K58" s="127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27">
        <f t="shared" si="21"/>
        <v>1125000.0000000002</v>
      </c>
      <c r="AB58"/>
      <c r="AC58"/>
      <c r="AD58"/>
    </row>
    <row r="59" spans="1:30" ht="14.45">
      <c r="A59" s="35">
        <f t="shared" si="41"/>
        <v>31</v>
      </c>
      <c r="B59" s="122">
        <v>0</v>
      </c>
      <c r="C59" s="123">
        <f t="shared" si="23"/>
        <v>-8.370000000000017</v>
      </c>
      <c r="D59" s="124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5">
        <f t="shared" si="16"/>
        <v>4.4999999999999998E-2</v>
      </c>
      <c r="J59" s="126">
        <v>4000</v>
      </c>
      <c r="K59" s="127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27">
        <f t="shared" si="21"/>
        <v>1125000.0000000002</v>
      </c>
      <c r="AB59"/>
      <c r="AC59"/>
      <c r="AD59"/>
    </row>
    <row r="60" spans="1:30" ht="14.45">
      <c r="A60" s="35">
        <f t="shared" si="41"/>
        <v>32</v>
      </c>
      <c r="B60" s="122">
        <v>0</v>
      </c>
      <c r="C60" s="123">
        <f t="shared" si="23"/>
        <v>-8.3690000000000175</v>
      </c>
      <c r="D60" s="124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5">
        <f t="shared" si="16"/>
        <v>4.4999999999999998E-2</v>
      </c>
      <c r="J60" s="126">
        <v>4000</v>
      </c>
      <c r="K60" s="127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27">
        <f t="shared" si="21"/>
        <v>1125000.0000000002</v>
      </c>
      <c r="AB60"/>
      <c r="AC60"/>
      <c r="AD60"/>
    </row>
    <row r="61" spans="1:30" ht="14.45">
      <c r="A61" s="35">
        <f t="shared" si="41"/>
        <v>33</v>
      </c>
      <c r="B61" s="122">
        <v>0</v>
      </c>
      <c r="C61" s="123">
        <f t="shared" si="23"/>
        <v>-8.3680000000000181</v>
      </c>
      <c r="D61" s="124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5">
        <f t="shared" si="16"/>
        <v>4.4999999999999998E-2</v>
      </c>
      <c r="J61" s="126">
        <v>4000</v>
      </c>
      <c r="K61" s="127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27">
        <f t="shared" si="21"/>
        <v>1125000.0000000002</v>
      </c>
      <c r="AB61"/>
      <c r="AC61"/>
      <c r="AD61"/>
    </row>
    <row r="62" spans="1:30" ht="14.45">
      <c r="A62" s="35">
        <f>A61+1</f>
        <v>34</v>
      </c>
      <c r="B62" s="122">
        <v>0</v>
      </c>
      <c r="C62" s="123">
        <f t="shared" si="23"/>
        <v>-8.3670000000000186</v>
      </c>
      <c r="D62" s="124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5">
        <f t="shared" si="16"/>
        <v>4.4999999999999998E-2</v>
      </c>
      <c r="J62" s="126">
        <v>4000</v>
      </c>
      <c r="K62" s="127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27">
        <f t="shared" si="21"/>
        <v>1125000.0000000002</v>
      </c>
      <c r="AB62"/>
      <c r="AC62"/>
      <c r="AD62"/>
    </row>
    <row r="63" spans="1:30" ht="14.45">
      <c r="A63" s="35">
        <f t="shared" si="41"/>
        <v>35</v>
      </c>
      <c r="B63" s="122">
        <v>0</v>
      </c>
      <c r="C63" s="123">
        <f t="shared" si="23"/>
        <v>-8.3660000000000192</v>
      </c>
      <c r="D63" s="124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5">
        <f t="shared" si="16"/>
        <v>4.4999999999999998E-2</v>
      </c>
      <c r="J63" s="126">
        <v>4000</v>
      </c>
      <c r="K63" s="127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27">
        <f t="shared" si="21"/>
        <v>1125000.0000000002</v>
      </c>
      <c r="AB63"/>
      <c r="AC63"/>
      <c r="AD63"/>
    </row>
    <row r="64" spans="1:30" ht="14.45">
      <c r="A64" s="35">
        <f t="shared" si="41"/>
        <v>36</v>
      </c>
      <c r="B64" s="122">
        <v>0</v>
      </c>
      <c r="C64" s="123">
        <f t="shared" si="23"/>
        <v>-8.3650000000000198</v>
      </c>
      <c r="D64" s="124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5">
        <f t="shared" si="16"/>
        <v>4.4999999999999998E-2</v>
      </c>
      <c r="J64" s="126">
        <v>4000</v>
      </c>
      <c r="K64" s="127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27">
        <f t="shared" si="21"/>
        <v>1125000.0000000002</v>
      </c>
      <c r="AB64"/>
      <c r="AC64"/>
      <c r="AD64"/>
    </row>
    <row r="65" spans="1:30" ht="14.45">
      <c r="A65" s="35">
        <f t="shared" si="41"/>
        <v>37</v>
      </c>
      <c r="B65" s="122">
        <v>0</v>
      </c>
      <c r="C65" s="123">
        <f t="shared" si="23"/>
        <v>-8.3640000000000203</v>
      </c>
      <c r="D65" s="124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5">
        <f t="shared" si="16"/>
        <v>4.4999999999999998E-2</v>
      </c>
      <c r="J65" s="126">
        <v>4000</v>
      </c>
      <c r="K65" s="127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27">
        <f t="shared" si="21"/>
        <v>1125000.0000000002</v>
      </c>
      <c r="AB65"/>
      <c r="AC65"/>
      <c r="AD65"/>
    </row>
    <row r="66" spans="1:30" ht="14.45">
      <c r="A66" s="35">
        <f t="shared" si="41"/>
        <v>38</v>
      </c>
      <c r="B66" s="122">
        <v>0</v>
      </c>
      <c r="C66" s="123">
        <f t="shared" si="23"/>
        <v>-8.3630000000000209</v>
      </c>
      <c r="D66" s="124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5">
        <f t="shared" si="16"/>
        <v>4.4999999999999998E-2</v>
      </c>
      <c r="J66" s="126">
        <v>4000</v>
      </c>
      <c r="K66" s="127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27">
        <f t="shared" si="21"/>
        <v>1125000.0000000002</v>
      </c>
      <c r="AB66"/>
      <c r="AC66"/>
      <c r="AD66"/>
    </row>
    <row r="67" spans="1:30" ht="14.45">
      <c r="A67" s="35">
        <f>A66+1</f>
        <v>39</v>
      </c>
      <c r="B67" s="122">
        <v>0</v>
      </c>
      <c r="C67" s="123">
        <f t="shared" si="23"/>
        <v>-8.3620000000000214</v>
      </c>
      <c r="D67" s="124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5">
        <f t="shared" si="16"/>
        <v>4.4999999999999998E-2</v>
      </c>
      <c r="J67" s="126">
        <v>4000</v>
      </c>
      <c r="K67" s="127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27">
        <f t="shared" si="21"/>
        <v>1125000.0000000002</v>
      </c>
      <c r="AB67"/>
      <c r="AC67"/>
      <c r="AD67"/>
    </row>
    <row r="68" spans="1:30" ht="14.45">
      <c r="A68" s="35">
        <f t="shared" si="41"/>
        <v>40</v>
      </c>
      <c r="B68" s="122">
        <v>0</v>
      </c>
      <c r="C68" s="123">
        <f t="shared" si="23"/>
        <v>-8.361000000000022</v>
      </c>
      <c r="D68" s="124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5">
        <f t="shared" si="16"/>
        <v>4.4999999999999998E-2</v>
      </c>
      <c r="J68" s="126">
        <v>4000</v>
      </c>
      <c r="K68" s="127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27">
        <f t="shared" si="21"/>
        <v>1125000.0000000002</v>
      </c>
      <c r="AB68"/>
      <c r="AC68"/>
      <c r="AD68"/>
    </row>
    <row r="69" spans="1:30" ht="14.45">
      <c r="A69" s="35">
        <f t="shared" si="41"/>
        <v>41</v>
      </c>
      <c r="B69" s="122">
        <v>0</v>
      </c>
      <c r="C69" s="123">
        <f t="shared" si="23"/>
        <v>-8.3600000000000225</v>
      </c>
      <c r="D69" s="124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5">
        <f t="shared" si="16"/>
        <v>4.4999999999999998E-2</v>
      </c>
      <c r="J69" s="126">
        <v>4000</v>
      </c>
      <c r="K69" s="127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27">
        <f t="shared" si="21"/>
        <v>1125000.0000000002</v>
      </c>
      <c r="AB69"/>
      <c r="AC69"/>
      <c r="AD69"/>
    </row>
    <row r="70" spans="1:30" ht="14.45">
      <c r="A70" s="35">
        <f t="shared" si="41"/>
        <v>42</v>
      </c>
      <c r="B70" s="122">
        <v>0</v>
      </c>
      <c r="C70" s="123">
        <f t="shared" si="23"/>
        <v>-8.3590000000000231</v>
      </c>
      <c r="D70" s="124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5">
        <f t="shared" si="16"/>
        <v>4.4999999999999998E-2</v>
      </c>
      <c r="J70" s="126">
        <v>4000</v>
      </c>
      <c r="K70" s="127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27">
        <f t="shared" si="21"/>
        <v>1125000.0000000002</v>
      </c>
      <c r="AB70"/>
      <c r="AC70"/>
      <c r="AD70"/>
    </row>
    <row r="71" spans="1:30" ht="14.45">
      <c r="A71" s="35">
        <f t="shared" si="41"/>
        <v>43</v>
      </c>
      <c r="B71" s="122">
        <v>0</v>
      </c>
      <c r="C71" s="123">
        <f t="shared" si="23"/>
        <v>-8.3580000000000236</v>
      </c>
      <c r="D71" s="124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5">
        <f t="shared" si="16"/>
        <v>4.4999999999999998E-2</v>
      </c>
      <c r="J71" s="126">
        <v>4000</v>
      </c>
      <c r="K71" s="127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27">
        <f t="shared" si="21"/>
        <v>1125000.0000000002</v>
      </c>
      <c r="AB71"/>
      <c r="AC71"/>
      <c r="AD71"/>
    </row>
    <row r="72" spans="1:30" ht="14.45">
      <c r="A72" s="35">
        <f>A71+1</f>
        <v>44</v>
      </c>
      <c r="B72" s="122">
        <v>0</v>
      </c>
      <c r="C72" s="123">
        <f t="shared" si="23"/>
        <v>-8.3570000000000242</v>
      </c>
      <c r="D72" s="124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5">
        <f t="shared" si="16"/>
        <v>4.4999999999999998E-2</v>
      </c>
      <c r="J72" s="126">
        <v>4000</v>
      </c>
      <c r="K72" s="127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27">
        <f t="shared" si="21"/>
        <v>1125000.0000000002</v>
      </c>
      <c r="AB72"/>
      <c r="AC72"/>
      <c r="AD72"/>
    </row>
    <row r="73" spans="1:30" ht="14.45">
      <c r="A73" s="35">
        <f t="shared" si="41"/>
        <v>45</v>
      </c>
      <c r="B73" s="122">
        <v>0</v>
      </c>
      <c r="C73" s="123">
        <f t="shared" si="23"/>
        <v>-8.3560000000000247</v>
      </c>
      <c r="D73" s="124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5">
        <f t="shared" si="16"/>
        <v>4.4999999999999998E-2</v>
      </c>
      <c r="J73" s="126">
        <v>4000</v>
      </c>
      <c r="K73" s="127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27">
        <f t="shared" si="21"/>
        <v>1125000.0000000002</v>
      </c>
      <c r="AB73"/>
      <c r="AC73"/>
      <c r="AD73"/>
    </row>
    <row r="74" spans="1:30" ht="14.45">
      <c r="A74" s="35">
        <f t="shared" si="41"/>
        <v>46</v>
      </c>
      <c r="B74" s="122">
        <v>0</v>
      </c>
      <c r="C74" s="123">
        <f t="shared" si="23"/>
        <v>-8.3550000000000253</v>
      </c>
      <c r="D74" s="124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5">
        <f t="shared" si="16"/>
        <v>4.4999999999999998E-2</v>
      </c>
      <c r="J74" s="126">
        <v>4000</v>
      </c>
      <c r="K74" s="127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27">
        <f t="shared" si="21"/>
        <v>1125000.0000000002</v>
      </c>
      <c r="AB74"/>
      <c r="AC74"/>
      <c r="AD74"/>
    </row>
    <row r="75" spans="1:30" ht="14.45">
      <c r="A75" s="35">
        <f t="shared" si="41"/>
        <v>47</v>
      </c>
      <c r="B75" s="122">
        <v>0</v>
      </c>
      <c r="C75" s="123">
        <f t="shared" si="23"/>
        <v>-8.3540000000000258</v>
      </c>
      <c r="D75" s="124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5">
        <f t="shared" si="16"/>
        <v>4.4999999999999998E-2</v>
      </c>
      <c r="J75" s="126">
        <v>4000</v>
      </c>
      <c r="K75" s="127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27">
        <f t="shared" si="21"/>
        <v>1125000.0000000002</v>
      </c>
      <c r="AB75"/>
      <c r="AC75"/>
      <c r="AD75"/>
    </row>
    <row r="76" spans="1:30" ht="14.45">
      <c r="A76" s="35">
        <f t="shared" si="41"/>
        <v>48</v>
      </c>
      <c r="B76" s="122">
        <v>0</v>
      </c>
      <c r="C76" s="123">
        <f t="shared" si="23"/>
        <v>-8.3530000000000264</v>
      </c>
      <c r="D76" s="124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5">
        <f t="shared" si="16"/>
        <v>4.4999999999999998E-2</v>
      </c>
      <c r="J76" s="126">
        <v>4000</v>
      </c>
      <c r="K76" s="127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27">
        <f t="shared" si="21"/>
        <v>1125000.0000000002</v>
      </c>
      <c r="AB76"/>
      <c r="AC76"/>
      <c r="AD76"/>
    </row>
    <row r="77" spans="1:30" ht="14.45">
      <c r="A77" s="35">
        <f>A76+1</f>
        <v>49</v>
      </c>
      <c r="B77" s="122">
        <v>0</v>
      </c>
      <c r="C77" s="123">
        <f t="shared" si="23"/>
        <v>-8.352000000000027</v>
      </c>
      <c r="D77" s="124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5">
        <f t="shared" si="16"/>
        <v>4.4999999999999998E-2</v>
      </c>
      <c r="J77" s="126">
        <v>4000</v>
      </c>
      <c r="K77" s="127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27">
        <f t="shared" si="21"/>
        <v>1125000.0000000002</v>
      </c>
      <c r="AB77"/>
      <c r="AC77"/>
      <c r="AD77"/>
    </row>
    <row r="78" spans="1:30" ht="14.45">
      <c r="A78" s="35">
        <f t="shared" si="41"/>
        <v>50</v>
      </c>
      <c r="B78" s="122">
        <v>0</v>
      </c>
      <c r="C78" s="123">
        <f t="shared" si="23"/>
        <v>-8.3510000000000275</v>
      </c>
      <c r="D78" s="124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5">
        <f t="shared" si="16"/>
        <v>4.4999999999999998E-2</v>
      </c>
      <c r="J78" s="126">
        <v>4000</v>
      </c>
      <c r="K78" s="127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27">
        <f t="shared" si="21"/>
        <v>1125000.0000000002</v>
      </c>
      <c r="AB78"/>
      <c r="AC78"/>
      <c r="AD78"/>
    </row>
    <row r="79" spans="1:30" ht="14.45">
      <c r="A79" s="35">
        <f t="shared" si="41"/>
        <v>51</v>
      </c>
      <c r="B79" s="122">
        <v>0</v>
      </c>
      <c r="C79" s="123">
        <f t="shared" si="23"/>
        <v>-8.3500000000000281</v>
      </c>
      <c r="D79" s="124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5">
        <f t="shared" si="16"/>
        <v>4.4999999999999998E-2</v>
      </c>
      <c r="J79" s="126">
        <v>4000</v>
      </c>
      <c r="K79" s="127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27">
        <f t="shared" si="21"/>
        <v>1125000.0000000002</v>
      </c>
      <c r="AB79"/>
      <c r="AC79"/>
      <c r="AD79"/>
    </row>
    <row r="80" spans="1:30" ht="14.45">
      <c r="A80" s="35">
        <f t="shared" si="41"/>
        <v>52</v>
      </c>
      <c r="B80" s="122">
        <v>0</v>
      </c>
      <c r="C80" s="123">
        <f t="shared" si="23"/>
        <v>-8.3490000000000286</v>
      </c>
      <c r="D80" s="124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5">
        <f t="shared" si="16"/>
        <v>4.4999999999999998E-2</v>
      </c>
      <c r="J80" s="126">
        <v>4000</v>
      </c>
      <c r="K80" s="127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27">
        <f t="shared" si="21"/>
        <v>1125000.0000000002</v>
      </c>
      <c r="AB80"/>
      <c r="AC80"/>
      <c r="AD80"/>
    </row>
    <row r="81" spans="1:30" ht="14.45">
      <c r="A81" s="35">
        <f t="shared" si="41"/>
        <v>53</v>
      </c>
      <c r="B81" s="122">
        <v>0</v>
      </c>
      <c r="C81" s="123">
        <f t="shared" si="23"/>
        <v>-8.3480000000000292</v>
      </c>
      <c r="D81" s="124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5">
        <f t="shared" si="16"/>
        <v>4.4999999999999998E-2</v>
      </c>
      <c r="J81" s="126">
        <v>4000</v>
      </c>
      <c r="K81" s="127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27">
        <f t="shared" si="21"/>
        <v>1125000.0000000002</v>
      </c>
      <c r="AB81"/>
      <c r="AC81"/>
      <c r="AD81"/>
    </row>
    <row r="82" spans="1:30" ht="14.45">
      <c r="A82" s="35">
        <f>A81+1</f>
        <v>54</v>
      </c>
      <c r="B82" s="122">
        <v>0</v>
      </c>
      <c r="C82" s="123">
        <f t="shared" si="23"/>
        <v>-8.3470000000000297</v>
      </c>
      <c r="D82" s="124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5">
        <f t="shared" si="16"/>
        <v>4.4999999999999998E-2</v>
      </c>
      <c r="J82" s="126">
        <v>4000</v>
      </c>
      <c r="K82" s="127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27">
        <f t="shared" si="21"/>
        <v>1125000.0000000002</v>
      </c>
      <c r="AB82"/>
      <c r="AC82"/>
      <c r="AD82"/>
    </row>
    <row r="83" spans="1:30" ht="14.45">
      <c r="A83" s="35">
        <f t="shared" si="41"/>
        <v>55</v>
      </c>
      <c r="B83" s="122">
        <v>0</v>
      </c>
      <c r="C83" s="123">
        <f t="shared" si="23"/>
        <v>-8.3460000000000303</v>
      </c>
      <c r="D83" s="124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5">
        <f t="shared" si="16"/>
        <v>4.4999999999999998E-2</v>
      </c>
      <c r="J83" s="126">
        <v>4000</v>
      </c>
      <c r="K83" s="127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27">
        <f t="shared" si="21"/>
        <v>1125000.0000000002</v>
      </c>
      <c r="AB83"/>
      <c r="AC83"/>
      <c r="AD83"/>
    </row>
    <row r="84" spans="1:30" ht="14.45">
      <c r="A84" s="35">
        <f t="shared" si="41"/>
        <v>56</v>
      </c>
      <c r="B84" s="122">
        <v>0</v>
      </c>
      <c r="C84" s="123">
        <f t="shared" si="23"/>
        <v>-8.3450000000000308</v>
      </c>
      <c r="D84" s="124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5">
        <f t="shared" si="16"/>
        <v>4.4999999999999998E-2</v>
      </c>
      <c r="J84" s="126">
        <v>4000</v>
      </c>
      <c r="K84" s="127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27">
        <f t="shared" si="21"/>
        <v>1125000.0000000002</v>
      </c>
      <c r="AB84"/>
      <c r="AC84"/>
      <c r="AD84"/>
    </row>
    <row r="85" spans="1:30" ht="14.45">
      <c r="A85" s="35">
        <f t="shared" si="41"/>
        <v>57</v>
      </c>
      <c r="B85" s="122">
        <v>0</v>
      </c>
      <c r="C85" s="123">
        <f t="shared" si="23"/>
        <v>-8.3440000000000314</v>
      </c>
      <c r="D85" s="124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5">
        <f t="shared" si="16"/>
        <v>4.4999999999999998E-2</v>
      </c>
      <c r="J85" s="126">
        <v>4000</v>
      </c>
      <c r="K85" s="127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27">
        <f t="shared" si="21"/>
        <v>1125000.0000000002</v>
      </c>
      <c r="AB85"/>
      <c r="AC85"/>
      <c r="AD85"/>
    </row>
    <row r="86" spans="1:30" ht="14.45">
      <c r="A86" s="35">
        <f t="shared" si="41"/>
        <v>58</v>
      </c>
      <c r="B86" s="122">
        <v>0</v>
      </c>
      <c r="C86" s="123">
        <f t="shared" si="23"/>
        <v>-8.3430000000000319</v>
      </c>
      <c r="D86" s="124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5">
        <f t="shared" si="16"/>
        <v>4.4999999999999998E-2</v>
      </c>
      <c r="J86" s="126">
        <v>4000</v>
      </c>
      <c r="K86" s="127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27">
        <f t="shared" si="21"/>
        <v>1125000.0000000002</v>
      </c>
      <c r="AB86"/>
      <c r="AC86"/>
      <c r="AD86"/>
    </row>
    <row r="87" spans="1:30" ht="14.45">
      <c r="A87" s="35">
        <f>A86+1</f>
        <v>59</v>
      </c>
      <c r="B87" s="122">
        <v>0</v>
      </c>
      <c r="C87" s="123">
        <f t="shared" si="23"/>
        <v>-8.3420000000000325</v>
      </c>
      <c r="D87" s="124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5">
        <f t="shared" si="16"/>
        <v>4.4999999999999998E-2</v>
      </c>
      <c r="J87" s="126">
        <v>4000</v>
      </c>
      <c r="K87" s="127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27">
        <f t="shared" si="21"/>
        <v>1125000.0000000002</v>
      </c>
      <c r="AB87"/>
      <c r="AC87"/>
      <c r="AD87"/>
    </row>
    <row r="88" spans="1:30" ht="14.45">
      <c r="A88" s="35">
        <f t="shared" si="41"/>
        <v>60</v>
      </c>
      <c r="B88" s="122">
        <v>0</v>
      </c>
      <c r="C88" s="123">
        <f t="shared" si="23"/>
        <v>-8.3410000000000331</v>
      </c>
      <c r="D88" s="124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5">
        <f t="shared" si="16"/>
        <v>4.4999999999999998E-2</v>
      </c>
      <c r="J88" s="126">
        <v>4000</v>
      </c>
      <c r="K88" s="127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27">
        <f t="shared" si="21"/>
        <v>1125000.0000000002</v>
      </c>
      <c r="AB88"/>
      <c r="AC88"/>
      <c r="AD88"/>
    </row>
    <row r="89" spans="1:30" ht="14.45">
      <c r="A89" s="35">
        <f t="shared" si="41"/>
        <v>61</v>
      </c>
      <c r="B89" s="122">
        <v>0</v>
      </c>
      <c r="C89" s="123">
        <f t="shared" si="23"/>
        <v>-8.3400000000000336</v>
      </c>
      <c r="D89" s="124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5">
        <f t="shared" si="16"/>
        <v>4.4999999999999998E-2</v>
      </c>
      <c r="J89" s="126">
        <v>4000</v>
      </c>
      <c r="K89" s="127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27">
        <f t="shared" si="21"/>
        <v>1125000.0000000002</v>
      </c>
      <c r="AB89"/>
      <c r="AC89"/>
      <c r="AD89"/>
    </row>
    <row r="90" spans="1:30" ht="14.45">
      <c r="A90" s="35">
        <f t="shared" si="41"/>
        <v>62</v>
      </c>
      <c r="B90" s="122">
        <v>0</v>
      </c>
      <c r="C90" s="123">
        <f t="shared" si="23"/>
        <v>-8.3390000000000342</v>
      </c>
      <c r="D90" s="124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5">
        <f t="shared" si="16"/>
        <v>4.4999999999999998E-2</v>
      </c>
      <c r="J90" s="126">
        <v>4000</v>
      </c>
      <c r="K90" s="127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27">
        <f t="shared" si="21"/>
        <v>1125000.0000000002</v>
      </c>
      <c r="AB90"/>
      <c r="AC90"/>
      <c r="AD90"/>
    </row>
    <row r="91" spans="1:30" ht="14.45">
      <c r="A91" s="35">
        <f t="shared" si="41"/>
        <v>63</v>
      </c>
      <c r="B91" s="122">
        <v>0</v>
      </c>
      <c r="C91" s="123">
        <f t="shared" si="23"/>
        <v>-8.3380000000000347</v>
      </c>
      <c r="D91" s="124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5">
        <f t="shared" si="16"/>
        <v>4.4999999999999998E-2</v>
      </c>
      <c r="J91" s="126">
        <v>4000</v>
      </c>
      <c r="K91" s="127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27">
        <f t="shared" si="21"/>
        <v>1125000.0000000002</v>
      </c>
      <c r="AB91"/>
      <c r="AC91"/>
      <c r="AD91"/>
    </row>
    <row r="92" spans="1:30" ht="14.45">
      <c r="A92" s="35">
        <f>A91+1</f>
        <v>64</v>
      </c>
      <c r="B92" s="122">
        <v>0</v>
      </c>
      <c r="C92" s="123">
        <f t="shared" si="23"/>
        <v>-8.3370000000000353</v>
      </c>
      <c r="D92" s="124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5">
        <f t="shared" si="16"/>
        <v>4.4999999999999998E-2</v>
      </c>
      <c r="J92" s="126">
        <v>4000</v>
      </c>
      <c r="K92" s="127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27">
        <f t="shared" si="21"/>
        <v>1125000.0000000002</v>
      </c>
      <c r="AB92"/>
      <c r="AC92"/>
      <c r="AD92"/>
    </row>
    <row r="93" spans="1:30" ht="14.45">
      <c r="A93" s="35">
        <f t="shared" si="41"/>
        <v>65</v>
      </c>
      <c r="B93" s="122">
        <v>0</v>
      </c>
      <c r="C93" s="123">
        <f t="shared" si="23"/>
        <v>-8.3360000000000358</v>
      </c>
      <c r="D93" s="124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5">
        <f t="shared" si="16"/>
        <v>4.4999999999999998E-2</v>
      </c>
      <c r="J93" s="126">
        <v>4000</v>
      </c>
      <c r="K93" s="127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27">
        <f t="shared" si="21"/>
        <v>1125000.0000000002</v>
      </c>
      <c r="AB93"/>
      <c r="AC93"/>
      <c r="AD93"/>
    </row>
    <row r="94" spans="1:30" ht="14.45">
      <c r="A94" s="35">
        <f t="shared" si="41"/>
        <v>66</v>
      </c>
      <c r="B94" s="122">
        <v>0</v>
      </c>
      <c r="C94" s="123">
        <f t="shared" si="23"/>
        <v>-8.3350000000000364</v>
      </c>
      <c r="D94" s="124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5">
        <f t="shared" ref="I94:I128" si="166">$O$23</f>
        <v>4.4999999999999998E-2</v>
      </c>
      <c r="J94" s="126">
        <v>4000</v>
      </c>
      <c r="K94" s="127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27">
        <f t="shared" ref="U94:U135" si="168">N94/T94</f>
        <v>1125000.0000000002</v>
      </c>
      <c r="AB94"/>
      <c r="AC94"/>
      <c r="AD94"/>
    </row>
    <row r="95" spans="1:30" ht="14.45">
      <c r="A95" s="35">
        <f t="shared" si="41"/>
        <v>67</v>
      </c>
      <c r="B95" s="122">
        <v>0</v>
      </c>
      <c r="C95" s="123">
        <f t="shared" si="23"/>
        <v>-8.3340000000000369</v>
      </c>
      <c r="D95" s="124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5">
        <f t="shared" si="166"/>
        <v>4.4999999999999998E-2</v>
      </c>
      <c r="J95" s="126">
        <v>4000</v>
      </c>
      <c r="K95" s="127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27">
        <f t="shared" si="168"/>
        <v>1125000.0000000002</v>
      </c>
      <c r="AB95"/>
      <c r="AC95"/>
      <c r="AD95"/>
    </row>
    <row r="96" spans="1:30" ht="14.45">
      <c r="A96" s="35">
        <f t="shared" si="41"/>
        <v>68</v>
      </c>
      <c r="B96" s="122">
        <v>0</v>
      </c>
      <c r="C96" s="123">
        <f t="shared" ref="C96:C119" si="175">C95+0.001</f>
        <v>-8.3330000000000375</v>
      </c>
      <c r="D96" s="124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5">
        <f t="shared" si="166"/>
        <v>4.4999999999999998E-2</v>
      </c>
      <c r="J96" s="126">
        <v>4000</v>
      </c>
      <c r="K96" s="127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27">
        <f t="shared" si="168"/>
        <v>1125000.0000000002</v>
      </c>
      <c r="AB96"/>
      <c r="AC96"/>
      <c r="AD96"/>
    </row>
    <row r="97" spans="1:30" ht="14.45">
      <c r="A97" s="35">
        <f>A96+1</f>
        <v>69</v>
      </c>
      <c r="B97" s="122">
        <v>0</v>
      </c>
      <c r="C97" s="123">
        <f t="shared" si="175"/>
        <v>-8.332000000000038</v>
      </c>
      <c r="D97" s="124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5">
        <f t="shared" si="166"/>
        <v>4.4999999999999998E-2</v>
      </c>
      <c r="J97" s="126">
        <v>4000</v>
      </c>
      <c r="K97" s="127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27">
        <f t="shared" si="168"/>
        <v>1125000.0000000002</v>
      </c>
      <c r="AB97"/>
      <c r="AC97"/>
      <c r="AD97"/>
    </row>
    <row r="98" spans="1:30">
      <c r="A98" s="35">
        <f t="shared" si="41"/>
        <v>70</v>
      </c>
      <c r="B98" s="122">
        <v>0</v>
      </c>
      <c r="C98" s="123">
        <f t="shared" si="175"/>
        <v>-8.3310000000000386</v>
      </c>
      <c r="D98" s="124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5">
        <f t="shared" si="166"/>
        <v>4.4999999999999998E-2</v>
      </c>
      <c r="J98" s="126">
        <v>4000</v>
      </c>
      <c r="K98" s="127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27">
        <f t="shared" si="168"/>
        <v>1125000.0000000002</v>
      </c>
      <c r="AB98"/>
      <c r="AC98"/>
      <c r="AD98"/>
    </row>
    <row r="99" spans="1:30">
      <c r="A99" s="35">
        <f t="shared" si="41"/>
        <v>71</v>
      </c>
      <c r="B99" s="122">
        <v>0</v>
      </c>
      <c r="C99" s="123">
        <f t="shared" si="175"/>
        <v>-8.3300000000000392</v>
      </c>
      <c r="D99" s="124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5">
        <f t="shared" si="166"/>
        <v>4.4999999999999998E-2</v>
      </c>
      <c r="J99" s="126">
        <v>4000</v>
      </c>
      <c r="K99" s="127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27">
        <f t="shared" si="168"/>
        <v>1125000.0000000002</v>
      </c>
      <c r="AB99"/>
      <c r="AC99"/>
      <c r="AD99"/>
    </row>
    <row r="100" spans="1:30">
      <c r="A100" s="35">
        <f t="shared" si="41"/>
        <v>72</v>
      </c>
      <c r="B100" s="122">
        <v>0</v>
      </c>
      <c r="C100" s="123">
        <f t="shared" si="175"/>
        <v>-8.3290000000000397</v>
      </c>
      <c r="D100" s="124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5">
        <f t="shared" si="166"/>
        <v>4.4999999999999998E-2</v>
      </c>
      <c r="J100" s="126">
        <v>4000</v>
      </c>
      <c r="K100" s="127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27">
        <f t="shared" si="168"/>
        <v>1125000.0000000002</v>
      </c>
      <c r="AB100"/>
      <c r="AC100"/>
      <c r="AD100"/>
    </row>
    <row r="101" spans="1:30">
      <c r="A101" s="35">
        <f t="shared" si="41"/>
        <v>73</v>
      </c>
      <c r="B101" s="122">
        <v>0</v>
      </c>
      <c r="C101" s="123">
        <f t="shared" si="175"/>
        <v>-8.3280000000000403</v>
      </c>
      <c r="D101" s="124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5">
        <f t="shared" si="166"/>
        <v>4.4999999999999998E-2</v>
      </c>
      <c r="J101" s="126">
        <v>4000</v>
      </c>
      <c r="K101" s="127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27">
        <f t="shared" si="168"/>
        <v>1125000.0000000002</v>
      </c>
      <c r="AB101"/>
      <c r="AC101"/>
      <c r="AD101"/>
    </row>
    <row r="102" spans="1:30">
      <c r="A102" s="35">
        <f>A101+1</f>
        <v>74</v>
      </c>
      <c r="B102" s="122">
        <v>0</v>
      </c>
      <c r="C102" s="123">
        <f t="shared" si="175"/>
        <v>-8.3270000000000408</v>
      </c>
      <c r="D102" s="124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5">
        <f t="shared" si="166"/>
        <v>4.4999999999999998E-2</v>
      </c>
      <c r="J102" s="126">
        <v>4000</v>
      </c>
      <c r="K102" s="127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27">
        <f t="shared" si="168"/>
        <v>1125000.0000000002</v>
      </c>
      <c r="AB102"/>
      <c r="AC102"/>
      <c r="AD102"/>
    </row>
    <row r="103" spans="1:30">
      <c r="A103" s="35">
        <f t="shared" ref="A103:A116" si="192">A102+1</f>
        <v>75</v>
      </c>
      <c r="B103" s="122">
        <v>0</v>
      </c>
      <c r="C103" s="123">
        <f t="shared" si="175"/>
        <v>-8.3260000000000414</v>
      </c>
      <c r="D103" s="124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5">
        <f t="shared" si="166"/>
        <v>4.4999999999999998E-2</v>
      </c>
      <c r="J103" s="126">
        <v>4000</v>
      </c>
      <c r="K103" s="127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27">
        <f t="shared" si="168"/>
        <v>1125000.0000000002</v>
      </c>
      <c r="AB103"/>
      <c r="AC103"/>
      <c r="AD103"/>
    </row>
    <row r="104" spans="1:30">
      <c r="A104" s="35">
        <f t="shared" si="192"/>
        <v>76</v>
      </c>
      <c r="B104" s="122">
        <v>0</v>
      </c>
      <c r="C104" s="123">
        <f t="shared" si="175"/>
        <v>-8.3250000000000419</v>
      </c>
      <c r="D104" s="124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5">
        <f t="shared" si="166"/>
        <v>4.4999999999999998E-2</v>
      </c>
      <c r="J104" s="126">
        <v>4000</v>
      </c>
      <c r="K104" s="127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27">
        <f t="shared" si="168"/>
        <v>1125000.0000000002</v>
      </c>
      <c r="AB104"/>
      <c r="AC104"/>
      <c r="AD104"/>
    </row>
    <row r="105" spans="1:30">
      <c r="A105" s="35">
        <f t="shared" si="192"/>
        <v>77</v>
      </c>
      <c r="B105" s="122">
        <v>0</v>
      </c>
      <c r="C105" s="123">
        <f t="shared" si="175"/>
        <v>-8.3240000000000425</v>
      </c>
      <c r="D105" s="124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5">
        <f t="shared" si="166"/>
        <v>4.4999999999999998E-2</v>
      </c>
      <c r="J105" s="126">
        <v>4000</v>
      </c>
      <c r="K105" s="127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27">
        <f t="shared" si="168"/>
        <v>1125000.0000000002</v>
      </c>
      <c r="AB105"/>
      <c r="AC105"/>
      <c r="AD105"/>
    </row>
    <row r="106" spans="1:30">
      <c r="A106" s="35">
        <f t="shared" si="192"/>
        <v>78</v>
      </c>
      <c r="B106" s="122">
        <v>0</v>
      </c>
      <c r="C106" s="123">
        <f t="shared" si="175"/>
        <v>-8.323000000000043</v>
      </c>
      <c r="D106" s="124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5">
        <f t="shared" si="166"/>
        <v>4.4999999999999998E-2</v>
      </c>
      <c r="J106" s="126">
        <v>4000</v>
      </c>
      <c r="K106" s="127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27">
        <f t="shared" si="168"/>
        <v>1125000.0000000002</v>
      </c>
      <c r="AB106"/>
      <c r="AC106"/>
      <c r="AD106"/>
    </row>
    <row r="107" spans="1:30">
      <c r="A107" s="35">
        <f>A106+1</f>
        <v>79</v>
      </c>
      <c r="B107" s="122">
        <v>0</v>
      </c>
      <c r="C107" s="123">
        <f t="shared" si="175"/>
        <v>-8.3220000000000436</v>
      </c>
      <c r="D107" s="124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5">
        <f t="shared" si="166"/>
        <v>4.4999999999999998E-2</v>
      </c>
      <c r="J107" s="126">
        <v>4000</v>
      </c>
      <c r="K107" s="127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27">
        <f t="shared" si="168"/>
        <v>1125000.0000000002</v>
      </c>
      <c r="AB107"/>
      <c r="AC107"/>
      <c r="AD107"/>
    </row>
    <row r="108" spans="1:30">
      <c r="A108" s="35">
        <f t="shared" si="192"/>
        <v>80</v>
      </c>
      <c r="B108" s="122">
        <v>0</v>
      </c>
      <c r="C108" s="123">
        <f t="shared" si="175"/>
        <v>-8.3210000000000441</v>
      </c>
      <c r="D108" s="124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5">
        <f t="shared" si="166"/>
        <v>4.4999999999999998E-2</v>
      </c>
      <c r="J108" s="126">
        <v>4000</v>
      </c>
      <c r="K108" s="127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27">
        <f t="shared" si="168"/>
        <v>1125000.0000000002</v>
      </c>
      <c r="AB108"/>
      <c r="AC108"/>
      <c r="AD108"/>
    </row>
    <row r="109" spans="1:30">
      <c r="A109" s="35">
        <f t="shared" si="192"/>
        <v>81</v>
      </c>
      <c r="B109" s="122">
        <v>0</v>
      </c>
      <c r="C109" s="123">
        <f t="shared" si="175"/>
        <v>-8.3200000000000447</v>
      </c>
      <c r="D109" s="124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5">
        <f t="shared" si="166"/>
        <v>4.4999999999999998E-2</v>
      </c>
      <c r="J109" s="126">
        <v>4000</v>
      </c>
      <c r="K109" s="127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27">
        <f t="shared" si="168"/>
        <v>1125000.0000000002</v>
      </c>
      <c r="AB109"/>
      <c r="AC109"/>
      <c r="AD109"/>
    </row>
    <row r="110" spans="1:30">
      <c r="A110" s="35">
        <f t="shared" si="192"/>
        <v>82</v>
      </c>
      <c r="B110" s="122">
        <v>0</v>
      </c>
      <c r="C110" s="123">
        <f t="shared" si="175"/>
        <v>-8.3190000000000452</v>
      </c>
      <c r="D110" s="124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5">
        <f t="shared" si="166"/>
        <v>4.4999999999999998E-2</v>
      </c>
      <c r="J110" s="126">
        <v>4000</v>
      </c>
      <c r="K110" s="127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27">
        <f t="shared" si="168"/>
        <v>1125000.0000000002</v>
      </c>
      <c r="AB110"/>
      <c r="AC110"/>
      <c r="AD110"/>
    </row>
    <row r="111" spans="1:30">
      <c r="A111" s="35">
        <f t="shared" si="192"/>
        <v>83</v>
      </c>
      <c r="B111" s="122">
        <v>0</v>
      </c>
      <c r="C111" s="123">
        <f t="shared" si="175"/>
        <v>-8.3180000000000458</v>
      </c>
      <c r="D111" s="124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5">
        <f t="shared" si="166"/>
        <v>4.4999999999999998E-2</v>
      </c>
      <c r="J111" s="126">
        <v>4000</v>
      </c>
      <c r="K111" s="127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27">
        <f t="shared" si="168"/>
        <v>1125000.0000000002</v>
      </c>
      <c r="AB111"/>
      <c r="AC111"/>
      <c r="AD111"/>
    </row>
    <row r="112" spans="1:30">
      <c r="A112" s="35">
        <f>A111+1</f>
        <v>84</v>
      </c>
      <c r="B112" s="122">
        <v>0</v>
      </c>
      <c r="C112" s="123">
        <f t="shared" si="175"/>
        <v>-8.3170000000000464</v>
      </c>
      <c r="D112" s="124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5">
        <f t="shared" si="166"/>
        <v>4.4999999999999998E-2</v>
      </c>
      <c r="J112" s="126">
        <v>4000</v>
      </c>
      <c r="K112" s="127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27">
        <f t="shared" si="168"/>
        <v>1125000.0000000002</v>
      </c>
      <c r="AB112"/>
      <c r="AC112"/>
      <c r="AD112"/>
    </row>
    <row r="113" spans="1:30">
      <c r="A113" s="35">
        <f t="shared" si="192"/>
        <v>85</v>
      </c>
      <c r="B113" s="122">
        <v>0</v>
      </c>
      <c r="C113" s="123">
        <f t="shared" si="175"/>
        <v>-8.3160000000000469</v>
      </c>
      <c r="D113" s="124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5">
        <f t="shared" si="166"/>
        <v>4.4999999999999998E-2</v>
      </c>
      <c r="J113" s="126">
        <v>4000</v>
      </c>
      <c r="K113" s="127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27">
        <f t="shared" si="168"/>
        <v>1125000.0000000002</v>
      </c>
      <c r="AB113"/>
      <c r="AC113"/>
      <c r="AD113"/>
    </row>
    <row r="114" spans="1:30">
      <c r="A114" s="35">
        <f t="shared" si="192"/>
        <v>86</v>
      </c>
      <c r="B114" s="122">
        <v>0</v>
      </c>
      <c r="C114" s="123">
        <f t="shared" si="175"/>
        <v>-8.3150000000000475</v>
      </c>
      <c r="D114" s="124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5">
        <f t="shared" si="166"/>
        <v>4.4999999999999998E-2</v>
      </c>
      <c r="J114" s="126">
        <v>4000</v>
      </c>
      <c r="K114" s="127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27">
        <f t="shared" si="168"/>
        <v>1125000.0000000002</v>
      </c>
      <c r="AB114"/>
      <c r="AC114"/>
      <c r="AD114"/>
    </row>
    <row r="115" spans="1:30">
      <c r="A115" s="35">
        <f t="shared" si="192"/>
        <v>87</v>
      </c>
      <c r="B115" s="122">
        <v>0</v>
      </c>
      <c r="C115" s="123">
        <f t="shared" si="175"/>
        <v>-8.314000000000048</v>
      </c>
      <c r="D115" s="124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5">
        <f t="shared" si="166"/>
        <v>4.4999999999999998E-2</v>
      </c>
      <c r="J115" s="126">
        <v>4000</v>
      </c>
      <c r="K115" s="127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27">
        <f t="shared" si="168"/>
        <v>1125000.0000000002</v>
      </c>
      <c r="AB115"/>
      <c r="AC115"/>
      <c r="AD115"/>
    </row>
    <row r="116" spans="1:30">
      <c r="A116" s="35">
        <f t="shared" si="192"/>
        <v>88</v>
      </c>
      <c r="B116" s="122">
        <v>0</v>
      </c>
      <c r="C116" s="123">
        <f t="shared" si="175"/>
        <v>-8.3130000000000486</v>
      </c>
      <c r="D116" s="124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5">
        <f t="shared" si="166"/>
        <v>4.4999999999999998E-2</v>
      </c>
      <c r="J116" s="126">
        <v>4000</v>
      </c>
      <c r="K116" s="127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27">
        <f t="shared" si="168"/>
        <v>1125000.0000000002</v>
      </c>
      <c r="AB116"/>
      <c r="AC116"/>
      <c r="AD116"/>
    </row>
    <row r="117" spans="1:30">
      <c r="A117" s="35">
        <f>A116+1</f>
        <v>89</v>
      </c>
      <c r="B117" s="122">
        <v>0</v>
      </c>
      <c r="C117" s="123">
        <f t="shared" si="175"/>
        <v>-8.3120000000000491</v>
      </c>
      <c r="D117" s="124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5">
        <f t="shared" si="166"/>
        <v>4.4999999999999998E-2</v>
      </c>
      <c r="J117" s="126">
        <v>4000</v>
      </c>
      <c r="K117" s="127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27">
        <f t="shared" si="168"/>
        <v>1125000.0000000002</v>
      </c>
      <c r="AB117"/>
      <c r="AC117"/>
      <c r="AD117"/>
    </row>
    <row r="118" spans="1:30">
      <c r="A118" s="35">
        <f t="shared" ref="A118:A128" si="226">A117+1</f>
        <v>90</v>
      </c>
      <c r="B118" s="122">
        <v>0</v>
      </c>
      <c r="C118" s="123">
        <f t="shared" si="175"/>
        <v>-8.3110000000000497</v>
      </c>
      <c r="D118" s="124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5">
        <f t="shared" si="166"/>
        <v>4.4999999999999998E-2</v>
      </c>
      <c r="J118" s="126">
        <v>4000</v>
      </c>
      <c r="K118" s="127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27">
        <f t="shared" si="168"/>
        <v>1125000.0000000002</v>
      </c>
      <c r="AB118"/>
      <c r="AC118"/>
      <c r="AD118"/>
    </row>
    <row r="119" spans="1:30">
      <c r="A119" s="35">
        <f t="shared" si="226"/>
        <v>91</v>
      </c>
      <c r="B119" s="122">
        <v>0</v>
      </c>
      <c r="C119" s="123">
        <f t="shared" si="175"/>
        <v>-8.3100000000000502</v>
      </c>
      <c r="D119" s="124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5">
        <f t="shared" si="166"/>
        <v>4.4999999999999998E-2</v>
      </c>
      <c r="J119" s="126">
        <v>4000</v>
      </c>
      <c r="K119" s="127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27">
        <f t="shared" si="168"/>
        <v>1125000.0000000002</v>
      </c>
      <c r="AB119"/>
      <c r="AC119"/>
      <c r="AD119"/>
    </row>
    <row r="120" spans="1:30">
      <c r="A120" s="35">
        <f t="shared" si="226"/>
        <v>92</v>
      </c>
      <c r="B120" s="122">
        <v>0</v>
      </c>
      <c r="C120" s="123">
        <f>C119+0.0005</f>
        <v>-8.3095000000000496</v>
      </c>
      <c r="D120" s="124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5">
        <f t="shared" si="166"/>
        <v>4.4999999999999998E-2</v>
      </c>
      <c r="J120" s="126">
        <v>4000</v>
      </c>
      <c r="K120" s="127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27">
        <f t="shared" si="168"/>
        <v>1125000.0000000002</v>
      </c>
      <c r="AB120"/>
      <c r="AC120"/>
      <c r="AD120"/>
    </row>
    <row r="121" spans="1:30">
      <c r="A121" s="35">
        <f t="shared" si="226"/>
        <v>93</v>
      </c>
      <c r="B121" s="122">
        <v>0</v>
      </c>
      <c r="C121" s="123">
        <f t="shared" ref="C121:C128" si="233">C120+0.0005</f>
        <v>-8.309000000000049</v>
      </c>
      <c r="D121" s="124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5">
        <f t="shared" si="166"/>
        <v>4.4999999999999998E-2</v>
      </c>
      <c r="J121" s="126">
        <v>4000</v>
      </c>
      <c r="K121" s="127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27">
        <f t="shared" si="168"/>
        <v>1125000.0000000002</v>
      </c>
      <c r="AB121"/>
      <c r="AC121"/>
      <c r="AD121"/>
    </row>
    <row r="122" spans="1:30">
      <c r="A122" s="35">
        <f>A121+1</f>
        <v>94</v>
      </c>
      <c r="B122" s="122">
        <v>0</v>
      </c>
      <c r="C122" s="123">
        <f t="shared" si="233"/>
        <v>-8.3085000000000484</v>
      </c>
      <c r="D122" s="124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5">
        <f t="shared" si="166"/>
        <v>4.4999999999999998E-2</v>
      </c>
      <c r="J122" s="126">
        <v>4000</v>
      </c>
      <c r="K122" s="127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27">
        <f t="shared" si="168"/>
        <v>1125000.0000000002</v>
      </c>
      <c r="AB122"/>
      <c r="AC122"/>
      <c r="AD122"/>
    </row>
    <row r="123" spans="1:30">
      <c r="A123" s="35">
        <f t="shared" si="226"/>
        <v>95</v>
      </c>
      <c r="B123" s="122">
        <v>0</v>
      </c>
      <c r="C123" s="123">
        <f t="shared" si="233"/>
        <v>-8.3080000000000478</v>
      </c>
      <c r="D123" s="124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5">
        <f t="shared" si="166"/>
        <v>4.4999999999999998E-2</v>
      </c>
      <c r="J123" s="126">
        <v>4000</v>
      </c>
      <c r="K123" s="127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27">
        <f t="shared" si="168"/>
        <v>1125000.0000000002</v>
      </c>
      <c r="AB123"/>
      <c r="AC123"/>
      <c r="AD123"/>
    </row>
    <row r="124" spans="1:30">
      <c r="A124" s="35">
        <f t="shared" si="226"/>
        <v>96</v>
      </c>
      <c r="B124" s="122">
        <v>0</v>
      </c>
      <c r="C124" s="123">
        <f t="shared" si="233"/>
        <v>-8.3075000000000472</v>
      </c>
      <c r="D124" s="124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5">
        <f t="shared" si="166"/>
        <v>4.4999999999999998E-2</v>
      </c>
      <c r="J124" s="126">
        <v>4000</v>
      </c>
      <c r="K124" s="127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27">
        <f t="shared" si="168"/>
        <v>1125000.0000000002</v>
      </c>
      <c r="AB124"/>
      <c r="AC124"/>
      <c r="AD124"/>
    </row>
    <row r="125" spans="1:30">
      <c r="A125" s="35">
        <f t="shared" si="226"/>
        <v>97</v>
      </c>
      <c r="B125" s="122">
        <v>0</v>
      </c>
      <c r="C125" s="123">
        <f t="shared" si="233"/>
        <v>-8.3070000000000466</v>
      </c>
      <c r="D125" s="124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5">
        <f t="shared" si="166"/>
        <v>4.4999999999999998E-2</v>
      </c>
      <c r="J125" s="126">
        <v>4000</v>
      </c>
      <c r="K125" s="127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27">
        <f t="shared" si="168"/>
        <v>1125000.0000000002</v>
      </c>
      <c r="AB125"/>
      <c r="AC125"/>
      <c r="AD125"/>
    </row>
    <row r="126" spans="1:30">
      <c r="A126" s="35">
        <f t="shared" si="226"/>
        <v>98</v>
      </c>
      <c r="B126" s="122">
        <v>0</v>
      </c>
      <c r="C126" s="123">
        <f t="shared" si="233"/>
        <v>-8.306500000000046</v>
      </c>
      <c r="D126" s="124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5">
        <f t="shared" si="166"/>
        <v>4.4999999999999998E-2</v>
      </c>
      <c r="J126" s="126">
        <v>4000</v>
      </c>
      <c r="K126" s="127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27">
        <f t="shared" si="168"/>
        <v>1125000.0000000002</v>
      </c>
      <c r="AB126"/>
      <c r="AC126"/>
      <c r="AD126"/>
    </row>
    <row r="127" spans="1:30">
      <c r="A127" s="35">
        <f>A126+1</f>
        <v>99</v>
      </c>
      <c r="B127" s="122">
        <v>0</v>
      </c>
      <c r="C127" s="123">
        <f t="shared" si="233"/>
        <v>-8.3060000000000453</v>
      </c>
      <c r="D127" s="124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5">
        <f t="shared" si="166"/>
        <v>4.4999999999999998E-2</v>
      </c>
      <c r="J127" s="126">
        <v>4000</v>
      </c>
      <c r="K127" s="127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27">
        <f t="shared" si="168"/>
        <v>1125000.0000000002</v>
      </c>
      <c r="AB127"/>
      <c r="AC127"/>
      <c r="AD127"/>
    </row>
    <row r="128" spans="1:30">
      <c r="A128" s="35">
        <f t="shared" si="226"/>
        <v>100</v>
      </c>
      <c r="B128" s="110">
        <v>0</v>
      </c>
      <c r="C128" s="128">
        <f t="shared" si="233"/>
        <v>-8.3055000000000447</v>
      </c>
      <c r="D128" s="129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0">
        <f t="shared" si="166"/>
        <v>4.4999999999999998E-2</v>
      </c>
      <c r="J128" s="131">
        <v>4000</v>
      </c>
      <c r="K128" s="111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27">
        <f t="shared" si="168"/>
        <v>1125000.0000000002</v>
      </c>
      <c r="AB128"/>
      <c r="AC128"/>
      <c r="AD128"/>
    </row>
    <row r="129" spans="1:30">
      <c r="A129" s="40"/>
      <c r="B129" s="39"/>
      <c r="C129" s="39"/>
      <c r="D129"/>
      <c r="T129" s="39"/>
      <c r="U129" s="27"/>
      <c r="AB129"/>
      <c r="AC129"/>
      <c r="AD129"/>
    </row>
    <row r="130" spans="1:30" ht="15.75" thickBot="1">
      <c r="A130" s="26" t="s">
        <v>94</v>
      </c>
      <c r="T130" s="39"/>
      <c r="U130" s="27"/>
      <c r="AB130"/>
      <c r="AC130"/>
      <c r="AD130"/>
    </row>
    <row r="131" spans="1:30" ht="15.75" thickBot="1">
      <c r="A131" s="28"/>
      <c r="B131" s="28" t="s">
        <v>95</v>
      </c>
      <c r="C131" s="29" t="s">
        <v>96</v>
      </c>
      <c r="D131" s="30" t="s">
        <v>97</v>
      </c>
      <c r="E131" s="30" t="s">
        <v>98</v>
      </c>
      <c r="F131" s="30" t="s">
        <v>99</v>
      </c>
      <c r="G131" s="30" t="s">
        <v>65</v>
      </c>
      <c r="H131" s="31" t="s">
        <v>100</v>
      </c>
      <c r="I131" s="32" t="s">
        <v>86</v>
      </c>
      <c r="J131" s="33" t="s">
        <v>87</v>
      </c>
      <c r="K131" s="32" t="s">
        <v>88</v>
      </c>
      <c r="L131" s="32" t="s">
        <v>89</v>
      </c>
      <c r="M131" s="32" t="s">
        <v>90</v>
      </c>
      <c r="N131" s="32" t="s">
        <v>91</v>
      </c>
      <c r="O131" s="32" t="s">
        <v>92</v>
      </c>
      <c r="P131" s="34" t="s">
        <v>93</v>
      </c>
      <c r="R131" s="27" t="s">
        <v>152</v>
      </c>
      <c r="S131" s="27" t="s">
        <v>153</v>
      </c>
      <c r="T131" s="39"/>
      <c r="U131" s="27"/>
      <c r="AB131"/>
      <c r="AC131"/>
      <c r="AD131"/>
    </row>
    <row r="132" spans="1:30" ht="15.75" thickTop="1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27">
        <f t="shared" si="168"/>
        <v>37500000</v>
      </c>
      <c r="AB132"/>
      <c r="AC132"/>
      <c r="AD132"/>
    </row>
    <row r="133" spans="1:30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27">
        <f t="shared" si="168"/>
        <v>37500000</v>
      </c>
      <c r="AB133"/>
      <c r="AC133"/>
      <c r="AD133"/>
    </row>
    <row r="134" spans="1:30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27">
        <f t="shared" si="168"/>
        <v>37500000</v>
      </c>
      <c r="AB134"/>
      <c r="AC134"/>
      <c r="AD134"/>
    </row>
    <row r="135" spans="1:30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27">
        <f t="shared" si="168"/>
        <v>37500000</v>
      </c>
      <c r="AB135"/>
      <c r="AC135"/>
      <c r="AD135"/>
    </row>
    <row r="136" spans="1:30">
      <c r="A136" s="40"/>
      <c r="B136" s="39"/>
      <c r="C136" s="39"/>
      <c r="D136"/>
      <c r="AB136"/>
      <c r="AC136"/>
      <c r="AD136"/>
    </row>
    <row r="137" spans="1:30">
      <c r="A137" s="40"/>
      <c r="B137" s="39"/>
      <c r="C137" s="39"/>
      <c r="D137"/>
      <c r="AB137"/>
      <c r="AC137"/>
      <c r="AD137"/>
    </row>
    <row r="138" spans="1:30">
      <c r="A138" s="40"/>
      <c r="B138" s="39"/>
      <c r="C138" s="39"/>
      <c r="D138"/>
      <c r="AB138"/>
      <c r="AC138"/>
      <c r="AD138"/>
    </row>
    <row r="139" spans="1:30">
      <c r="A139" s="40"/>
      <c r="B139" s="39"/>
      <c r="C139" s="39"/>
      <c r="D139"/>
      <c r="AB139"/>
      <c r="AC139"/>
      <c r="AD139"/>
    </row>
    <row r="140" spans="1:30">
      <c r="A140" s="40"/>
      <c r="B140" s="39"/>
      <c r="C140" s="39"/>
      <c r="D140"/>
      <c r="AB140"/>
      <c r="AC140"/>
      <c r="AD140"/>
    </row>
    <row r="141" spans="1:30">
      <c r="A141" s="40"/>
      <c r="B141" s="39"/>
      <c r="C141" s="39"/>
      <c r="D141"/>
      <c r="AB141"/>
      <c r="AC141"/>
      <c r="AD141"/>
    </row>
    <row r="142" spans="1:30">
      <c r="A142" s="40"/>
      <c r="B142" s="39"/>
      <c r="C142" s="39"/>
      <c r="D142"/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/>
      <c r="C144" s="39"/>
      <c r="D144"/>
      <c r="AB144"/>
      <c r="AC144"/>
      <c r="AD144"/>
    </row>
    <row r="145" spans="1:30">
      <c r="A145" s="40"/>
      <c r="B145" s="39"/>
      <c r="C145" s="39"/>
      <c r="D145"/>
      <c r="AB145"/>
      <c r="AC145"/>
      <c r="AD145"/>
    </row>
    <row r="146" spans="1:30">
      <c r="A146" s="40"/>
      <c r="B146" s="39"/>
      <c r="C146" s="39"/>
      <c r="D146"/>
      <c r="AB146"/>
      <c r="AC146"/>
      <c r="AD146"/>
    </row>
    <row r="147" spans="1:30">
      <c r="A147" s="40"/>
      <c r="B147" s="39"/>
      <c r="C147" s="39"/>
      <c r="D147"/>
      <c r="AB147"/>
      <c r="AC147"/>
      <c r="AD147"/>
    </row>
    <row r="148" spans="1:30">
      <c r="A148" s="40"/>
      <c r="B148" s="39"/>
      <c r="C148" s="39"/>
      <c r="D148"/>
      <c r="AB148"/>
      <c r="AC148"/>
      <c r="AD148"/>
    </row>
    <row r="149" spans="1:30">
      <c r="A149" s="40"/>
      <c r="B149" s="39"/>
      <c r="C149" s="39"/>
      <c r="D149"/>
      <c r="AB149"/>
      <c r="AC149"/>
      <c r="AD149"/>
    </row>
    <row r="150" spans="1:30">
      <c r="A150" s="40"/>
      <c r="B150" s="39"/>
      <c r="C150" s="39"/>
      <c r="D150"/>
      <c r="AB150"/>
      <c r="AC150"/>
      <c r="AD150"/>
    </row>
    <row r="151" spans="1:30">
      <c r="A151" s="40"/>
      <c r="B151" s="39"/>
      <c r="C151" s="39"/>
      <c r="D151"/>
      <c r="AB151"/>
      <c r="AC151"/>
      <c r="AD151"/>
    </row>
    <row r="152" spans="1:30">
      <c r="A152" s="40"/>
      <c r="B152" s="39"/>
      <c r="C152" s="39"/>
      <c r="D152"/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/>
      <c r="C154" s="39"/>
      <c r="D154"/>
      <c r="AB154"/>
      <c r="AC154"/>
      <c r="AD154"/>
    </row>
    <row r="155" spans="1:30">
      <c r="A155" s="40"/>
      <c r="B155" s="39"/>
      <c r="C155" s="39"/>
      <c r="D155"/>
      <c r="AB155"/>
      <c r="AC155"/>
      <c r="AD155"/>
    </row>
    <row r="156" spans="1:30">
      <c r="A156" s="40"/>
      <c r="B156" s="39"/>
      <c r="C156" s="39"/>
      <c r="D156"/>
      <c r="AB156"/>
      <c r="AC156"/>
      <c r="AD156"/>
    </row>
    <row r="157" spans="1:30">
      <c r="A157" s="40"/>
      <c r="B157" s="39"/>
      <c r="C157" s="39"/>
      <c r="D157"/>
      <c r="AB157"/>
      <c r="AC157"/>
      <c r="AD157"/>
    </row>
    <row r="158" spans="1:30">
      <c r="A158" s="40"/>
      <c r="B158" s="39"/>
      <c r="C158" s="39"/>
      <c r="D158"/>
      <c r="AB158"/>
      <c r="AC158"/>
      <c r="AD158"/>
    </row>
    <row r="159" spans="1:30">
      <c r="A159" s="40"/>
      <c r="B159" s="39"/>
      <c r="C159" s="39"/>
      <c r="D159"/>
      <c r="AB159"/>
      <c r="AC159"/>
      <c r="AD159"/>
    </row>
    <row r="160" spans="1:30">
      <c r="A160" s="40"/>
      <c r="B160" s="39"/>
      <c r="C160" s="39"/>
      <c r="D160"/>
      <c r="AB160"/>
      <c r="AC160"/>
      <c r="AD160"/>
    </row>
    <row r="161" spans="1:30">
      <c r="A161" s="40"/>
      <c r="B161" s="39"/>
      <c r="C161" s="39"/>
      <c r="D161"/>
      <c r="AB161"/>
      <c r="AC161"/>
      <c r="AD161"/>
    </row>
    <row r="162" spans="1:30">
      <c r="A162" s="40"/>
      <c r="B162" s="39"/>
      <c r="C162" s="39"/>
      <c r="D162"/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U387" s="40"/>
      <c r="V387" s="39"/>
      <c r="W387" s="39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</row>
    <row r="397" spans="4:30">
      <c r="D397"/>
    </row>
    <row r="398" spans="4:30">
      <c r="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sqref="A1:B5"/>
    </sheetView>
  </sheetViews>
  <sheetFormatPr defaultRowHeight="15"/>
  <cols>
    <col min="1" max="1" width="14.5703125" bestFit="1" customWidth="1"/>
    <col min="6" max="7" width="8.85546875" customWidth="1"/>
  </cols>
  <sheetData>
    <row r="1" spans="1:9">
      <c r="A1" s="132"/>
      <c r="B1" t="s">
        <v>160</v>
      </c>
    </row>
    <row r="2" spans="1:9">
      <c r="A2" s="126"/>
      <c r="B2" t="s">
        <v>161</v>
      </c>
    </row>
    <row r="3" spans="1:9">
      <c r="A3" s="79"/>
      <c r="B3" t="s">
        <v>162</v>
      </c>
    </row>
    <row r="4" spans="1:9">
      <c r="A4" s="133"/>
      <c r="B4" t="s">
        <v>163</v>
      </c>
    </row>
    <row r="5" spans="1:9">
      <c r="A5" s="134"/>
      <c r="B5" t="s">
        <v>164</v>
      </c>
    </row>
    <row r="7" spans="1:9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12"/>
  <sheetViews>
    <sheetView topLeftCell="A124" zoomScaleNormal="100" workbookViewId="0">
      <selection activeCell="I75" sqref="I75"/>
    </sheetView>
  </sheetViews>
  <sheetFormatPr defaultColWidth="9.140625" defaultRowHeight="1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5.5703125" customWidth="1"/>
    <col min="9" max="13" width="11.28515625" customWidth="1"/>
    <col min="14" max="14" width="18.5703125" bestFit="1" customWidth="1"/>
    <col min="15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/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186">
        <v>0</v>
      </c>
      <c r="B3" s="183">
        <v>17</v>
      </c>
      <c r="C3" s="181">
        <v>5500</v>
      </c>
      <c r="D3" s="86">
        <f>C3</f>
        <v>5500</v>
      </c>
      <c r="E3" s="172">
        <v>4</v>
      </c>
      <c r="F3" s="99">
        <v>4</v>
      </c>
      <c r="G3" s="99">
        <v>5</v>
      </c>
      <c r="H3" s="100">
        <v>5</v>
      </c>
      <c r="I3" s="62">
        <f>D3*0.16*6.38^2/(E3*F3*G3*H3*M3)</f>
        <v>59.699786666666675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188">
        <f>B4-$B$3</f>
        <v>0</v>
      </c>
      <c r="B4" s="184">
        <v>17</v>
      </c>
      <c r="C4" s="181">
        <v>1000</v>
      </c>
      <c r="D4" s="174">
        <f>D3</f>
        <v>5500</v>
      </c>
      <c r="E4" s="173">
        <f>E3</f>
        <v>4</v>
      </c>
      <c r="F4" s="102">
        <f t="shared" ref="F4:H4" si="2">F3</f>
        <v>4</v>
      </c>
      <c r="G4" s="102">
        <f t="shared" si="2"/>
        <v>5</v>
      </c>
      <c r="H4" s="103">
        <f t="shared" si="2"/>
        <v>5</v>
      </c>
      <c r="I4" s="62">
        <f>D4*0.16*6.38^2/(E4*F4*G4*H4*M4)</f>
        <v>59.699786666666675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187">
        <f>B5-$B$3</f>
        <v>0</v>
      </c>
      <c r="B5" s="90">
        <f>B4</f>
        <v>17</v>
      </c>
      <c r="C5" s="182">
        <v>5700</v>
      </c>
      <c r="D5" s="175">
        <f>IFERROR(C5*D4/C4,0)</f>
        <v>31350</v>
      </c>
      <c r="E5" s="92">
        <v>4</v>
      </c>
      <c r="F5" s="92">
        <v>4</v>
      </c>
      <c r="G5" s="92">
        <v>10</v>
      </c>
      <c r="H5" s="93">
        <v>20</v>
      </c>
      <c r="I5" s="62">
        <f t="shared" ref="I5:I15" si="3">D5*0.16*6.38^2/(E5*F5*G5*H5*M5)</f>
        <v>42.536098000000003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186">
        <f t="shared" ref="A6:A15" si="4">B6-$B$3</f>
        <v>12</v>
      </c>
      <c r="B6" s="94">
        <v>29</v>
      </c>
      <c r="C6" s="182">
        <v>450</v>
      </c>
      <c r="D6" s="176">
        <f>D5</f>
        <v>31350</v>
      </c>
      <c r="E6" s="96">
        <f>E5</f>
        <v>4</v>
      </c>
      <c r="F6" s="96">
        <f t="shared" ref="F6:H6" si="5">F5</f>
        <v>4</v>
      </c>
      <c r="G6" s="96">
        <f t="shared" si="5"/>
        <v>10</v>
      </c>
      <c r="H6" s="97">
        <f t="shared" si="5"/>
        <v>20</v>
      </c>
      <c r="I6" s="62">
        <f>D6*0.16*6.38^2/(E6*F6*G6*H6*M6)</f>
        <v>42.536098000000003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187">
        <f t="shared" si="4"/>
        <v>12</v>
      </c>
      <c r="B7" s="90">
        <v>29</v>
      </c>
      <c r="C7" s="182">
        <v>3350</v>
      </c>
      <c r="D7" s="177">
        <f>IFERROR(C7*D6/C6,0)</f>
        <v>233383.33333333334</v>
      </c>
      <c r="E7" s="99">
        <v>4</v>
      </c>
      <c r="F7" s="99">
        <v>8</v>
      </c>
      <c r="G7" s="99">
        <v>20</v>
      </c>
      <c r="H7" s="100">
        <v>40</v>
      </c>
      <c r="I7" s="62">
        <f t="shared" si="3"/>
        <v>39.582202305555562</v>
      </c>
      <c r="K7" s="62">
        <f>E7/857*1000</f>
        <v>4.6674445740956818</v>
      </c>
      <c r="L7" s="62">
        <f>F7/130*1000</f>
        <v>61.53846153846154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186">
        <f t="shared" si="4"/>
        <v>18</v>
      </c>
      <c r="B8" s="94">
        <v>35</v>
      </c>
      <c r="C8" s="182">
        <v>430</v>
      </c>
      <c r="D8" s="178">
        <f>D7</f>
        <v>233383.33333333334</v>
      </c>
      <c r="E8" s="102">
        <f>E7</f>
        <v>4</v>
      </c>
      <c r="F8" s="102">
        <f t="shared" ref="F8:H14" si="6">F7</f>
        <v>8</v>
      </c>
      <c r="G8" s="102">
        <f t="shared" si="6"/>
        <v>20</v>
      </c>
      <c r="H8" s="103">
        <f t="shared" si="6"/>
        <v>40</v>
      </c>
      <c r="I8" s="62">
        <f t="shared" si="3"/>
        <v>39.582202305555562</v>
      </c>
      <c r="K8" s="62">
        <f t="shared" si="0"/>
        <v>4.6674445740956818</v>
      </c>
      <c r="L8" s="62">
        <f t="shared" si="1"/>
        <v>61.53846153846154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>
      <c r="A9" s="187">
        <f t="shared" si="4"/>
        <v>18</v>
      </c>
      <c r="B9" s="90">
        <v>35</v>
      </c>
      <c r="C9" s="212">
        <v>1500</v>
      </c>
      <c r="D9" s="177">
        <f>IFERROR(C9*D8/C8,0)</f>
        <v>814127.90697674418</v>
      </c>
      <c r="E9" s="99">
        <v>4</v>
      </c>
      <c r="F9" s="99">
        <v>16</v>
      </c>
      <c r="G9" s="99">
        <v>35</v>
      </c>
      <c r="H9" s="100">
        <v>55</v>
      </c>
      <c r="I9" s="62">
        <f t="shared" si="3"/>
        <v>28.691418161683277</v>
      </c>
      <c r="K9" s="62">
        <f t="shared" si="0"/>
        <v>4.6674445740956818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186">
        <f t="shared" si="4"/>
        <v>27</v>
      </c>
      <c r="B10" s="94">
        <v>44</v>
      </c>
      <c r="C10" s="182"/>
      <c r="D10" s="178">
        <f>D9</f>
        <v>814127.90697674418</v>
      </c>
      <c r="E10" s="102">
        <f>E9</f>
        <v>4</v>
      </c>
      <c r="F10" s="102">
        <f t="shared" si="6"/>
        <v>16</v>
      </c>
      <c r="G10" s="102">
        <f t="shared" si="6"/>
        <v>35</v>
      </c>
      <c r="H10" s="103">
        <f t="shared" si="6"/>
        <v>55</v>
      </c>
      <c r="I10" s="62">
        <f t="shared" si="3"/>
        <v>28.691418161683277</v>
      </c>
      <c r="K10" s="62">
        <f t="shared" si="0"/>
        <v>4.6674445740956818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187">
        <f t="shared" si="4"/>
        <v>27</v>
      </c>
      <c r="B11" s="90">
        <v>44</v>
      </c>
      <c r="C11" s="182"/>
      <c r="D11" s="177">
        <f>IFERROR(C11*D10/C10,0)</f>
        <v>0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0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186">
        <f t="shared" si="4"/>
        <v>25.5</v>
      </c>
      <c r="B12" s="94">
        <v>42.5</v>
      </c>
      <c r="C12" s="182"/>
      <c r="D12" s="178">
        <f>D11</f>
        <v>0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0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187">
        <f t="shared" si="4"/>
        <v>27</v>
      </c>
      <c r="B13" s="90">
        <v>44</v>
      </c>
      <c r="C13" s="182"/>
      <c r="D13" s="179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ht="14.45">
      <c r="A14" s="186">
        <f t="shared" si="4"/>
        <v>27</v>
      </c>
      <c r="B14" s="94">
        <v>44</v>
      </c>
      <c r="C14" s="182"/>
      <c r="D14" s="178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ht="15.75" thickBot="1">
      <c r="A15" s="187">
        <f t="shared" si="4"/>
        <v>27</v>
      </c>
      <c r="B15" s="90">
        <v>44</v>
      </c>
      <c r="C15" s="182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6"/>
      <c r="O15" s="152"/>
      <c r="P15" s="163" t="s">
        <v>124</v>
      </c>
      <c r="Q15" s="164" t="s">
        <v>169</v>
      </c>
      <c r="X15" s="40"/>
      <c r="Y15" s="39"/>
      <c r="Z15" s="39"/>
      <c r="AB15"/>
      <c r="AC15"/>
      <c r="AD15"/>
    </row>
    <row r="16" spans="1:30" ht="14.45" customHeight="1">
      <c r="O16" s="152" t="s">
        <v>129</v>
      </c>
      <c r="P16" s="152">
        <v>6.5010000000000003</v>
      </c>
      <c r="Q16" s="165">
        <v>-2</v>
      </c>
      <c r="X16" s="40"/>
      <c r="Y16" s="39"/>
      <c r="Z16" s="39"/>
      <c r="AB16"/>
      <c r="AC16"/>
      <c r="AD16"/>
    </row>
    <row r="17" spans="1:31">
      <c r="B17" t="s">
        <v>142</v>
      </c>
      <c r="C17" t="s">
        <v>16</v>
      </c>
      <c r="D17" t="s">
        <v>156</v>
      </c>
      <c r="O17" s="152" t="s">
        <v>130</v>
      </c>
      <c r="P17" s="152">
        <v>-8.2249999999999996</v>
      </c>
      <c r="Q17" s="165">
        <v>5.9</v>
      </c>
      <c r="X17" s="40"/>
      <c r="Y17" s="39"/>
      <c r="Z17" s="39"/>
      <c r="AB17"/>
      <c r="AC17"/>
      <c r="AD17"/>
    </row>
    <row r="18" spans="1:31">
      <c r="B18" s="112">
        <f>MAX($D$3:$D$15)*1.6E-19</f>
        <v>1.3026046511627906E-13</v>
      </c>
      <c r="C18" s="113">
        <f>B18*1000000000</f>
        <v>1.3026046511627906E-4</v>
      </c>
      <c r="D18" s="113">
        <f>C18*2</f>
        <v>2.6052093023255812E-4</v>
      </c>
      <c r="I18" s="27"/>
      <c r="L18" s="27"/>
      <c r="O18" s="152" t="s">
        <v>140</v>
      </c>
      <c r="P18" s="152">
        <f>-7.5</f>
        <v>-7.5</v>
      </c>
      <c r="Q18" s="165">
        <f>P18+0.561</f>
        <v>-6.9390000000000001</v>
      </c>
      <c r="X18" s="40"/>
      <c r="Y18" s="39"/>
      <c r="Z18" s="39"/>
      <c r="AB18"/>
      <c r="AC18"/>
      <c r="AD18"/>
    </row>
    <row r="19" spans="1:31" ht="14.45">
      <c r="A19" s="132"/>
      <c r="B19" t="s">
        <v>160</v>
      </c>
      <c r="C19" s="147"/>
      <c r="D19" s="147"/>
      <c r="E19" s="148"/>
      <c r="F19" s="149"/>
      <c r="G19" s="149"/>
      <c r="H19" s="150"/>
      <c r="I19" s="147"/>
      <c r="J19" s="147"/>
      <c r="K19" s="147"/>
      <c r="L19" s="150"/>
      <c r="M19" s="1"/>
      <c r="Y19" s="76"/>
    </row>
    <row r="20" spans="1:31" ht="14.45">
      <c r="A20" s="126"/>
      <c r="B20" t="s">
        <v>161</v>
      </c>
      <c r="C20" s="147"/>
      <c r="D20" s="147"/>
      <c r="E20" s="148"/>
      <c r="F20" s="147"/>
      <c r="G20" s="147"/>
      <c r="H20" s="150"/>
      <c r="I20" s="147"/>
      <c r="J20" s="147"/>
      <c r="K20" s="147"/>
      <c r="L20" s="150"/>
      <c r="N20" s="151" t="s">
        <v>37</v>
      </c>
      <c r="O20" s="151"/>
      <c r="P20" s="152"/>
      <c r="AB20"/>
      <c r="AC20"/>
      <c r="AD20"/>
    </row>
    <row r="21" spans="1:31">
      <c r="A21" s="79"/>
      <c r="B21" t="s">
        <v>162</v>
      </c>
      <c r="C21" s="147"/>
      <c r="D21" s="147"/>
      <c r="E21" s="148"/>
      <c r="F21" s="147"/>
      <c r="G21" s="147"/>
      <c r="H21" s="150"/>
      <c r="I21" s="147"/>
      <c r="J21" s="147"/>
      <c r="K21" s="147"/>
      <c r="L21" s="150"/>
      <c r="N21" s="152"/>
      <c r="O21" s="153" t="s">
        <v>38</v>
      </c>
      <c r="P21" s="153" t="s">
        <v>39</v>
      </c>
      <c r="AB21"/>
      <c r="AC21"/>
      <c r="AD21"/>
    </row>
    <row r="22" spans="1:31" ht="14.45" customHeight="1">
      <c r="A22" s="133"/>
      <c r="B22" t="s">
        <v>163</v>
      </c>
      <c r="C22" s="147"/>
      <c r="D22" s="147"/>
      <c r="E22" s="148"/>
      <c r="F22" s="147"/>
      <c r="G22" s="147"/>
      <c r="H22" s="150"/>
      <c r="I22" s="147"/>
      <c r="J22" s="147"/>
      <c r="K22" s="147"/>
      <c r="L22" s="150"/>
      <c r="N22" s="152" t="s">
        <v>32</v>
      </c>
      <c r="O22" s="154">
        <v>12.3962</v>
      </c>
      <c r="P22" s="154">
        <v>10.4824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>
      <c r="A23" s="134"/>
      <c r="B23" t="s">
        <v>164</v>
      </c>
      <c r="D23"/>
      <c r="L23" s="40"/>
      <c r="N23" s="152" t="s">
        <v>170</v>
      </c>
      <c r="O23" s="154">
        <v>39</v>
      </c>
      <c r="P23" s="154">
        <v>183</v>
      </c>
      <c r="AB23"/>
      <c r="AC23"/>
      <c r="AD23"/>
    </row>
    <row r="24" spans="1:31" ht="14.45">
      <c r="L24" s="40"/>
      <c r="N24" s="152" t="s">
        <v>35</v>
      </c>
      <c r="O24" s="155">
        <f>O23/1000</f>
        <v>3.9E-2</v>
      </c>
      <c r="P24" s="155">
        <f>P23/1000</f>
        <v>0.183</v>
      </c>
    </row>
    <row r="25" spans="1:31" ht="14.45">
      <c r="A25" s="26"/>
      <c r="H25" s="27"/>
      <c r="I25" s="76"/>
      <c r="J25" s="76"/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ht="14.45">
      <c r="A27" s="26" t="s">
        <v>171</v>
      </c>
      <c r="AB27"/>
      <c r="AC27"/>
      <c r="AD27"/>
    </row>
    <row r="28" spans="1:31">
      <c r="A28" s="152"/>
      <c r="B28" s="156" t="s">
        <v>95</v>
      </c>
      <c r="C28" s="156" t="s">
        <v>96</v>
      </c>
      <c r="D28" s="157" t="s">
        <v>97</v>
      </c>
      <c r="E28" s="157" t="s">
        <v>98</v>
      </c>
      <c r="F28" s="157" t="s">
        <v>99</v>
      </c>
      <c r="G28" s="157" t="s">
        <v>65</v>
      </c>
      <c r="H28" s="158" t="s">
        <v>172</v>
      </c>
      <c r="I28" s="166" t="s">
        <v>72</v>
      </c>
      <c r="J28" s="159" t="s">
        <v>173</v>
      </c>
      <c r="K28" s="153" t="s">
        <v>88</v>
      </c>
      <c r="L28" s="153" t="s">
        <v>174</v>
      </c>
      <c r="M28" s="153" t="s">
        <v>175</v>
      </c>
      <c r="N28" s="153" t="s">
        <v>176</v>
      </c>
      <c r="O28" s="167" t="s">
        <v>177</v>
      </c>
      <c r="Q28" s="27" t="s">
        <v>178</v>
      </c>
      <c r="R28" s="27" t="s">
        <v>153</v>
      </c>
      <c r="S28" s="39" t="s">
        <v>179</v>
      </c>
      <c r="T28" s="1" t="s">
        <v>180</v>
      </c>
      <c r="AB28"/>
      <c r="AC28"/>
      <c r="AD28"/>
    </row>
    <row r="29" spans="1:31">
      <c r="A29" s="152">
        <v>1</v>
      </c>
      <c r="B29" s="154">
        <v>0</v>
      </c>
      <c r="C29" s="160">
        <f>$Q$16</f>
        <v>-2</v>
      </c>
      <c r="D29" s="160">
        <f>$Q$17</f>
        <v>5.9</v>
      </c>
      <c r="E29" s="161">
        <f>O29/1000</f>
        <v>4.0706395348837215E-3</v>
      </c>
      <c r="F29" s="152">
        <f t="shared" ref="F29:F61" si="7">IF($B29,$C29,$D29)+$K29-IF($B29,$O$24/1000,$P$24/1000)</f>
        <v>5.9098170000000003</v>
      </c>
      <c r="G29" s="152">
        <v>50000</v>
      </c>
      <c r="H29" s="152">
        <v>0</v>
      </c>
      <c r="I29" s="159">
        <v>400000</v>
      </c>
      <c r="J29" s="154">
        <v>10</v>
      </c>
      <c r="K29" s="152">
        <f>J29/1000</f>
        <v>0.01</v>
      </c>
      <c r="L29" s="153">
        <f>I29*J29</f>
        <v>4000000</v>
      </c>
      <c r="M29" s="153">
        <f>MAX($D$3:$D$15)*2</f>
        <v>1628255.8139534884</v>
      </c>
      <c r="N29" s="169">
        <f t="shared" ref="N29:N61" si="8">L29/M29</f>
        <v>2.4566164393344283</v>
      </c>
      <c r="O29" s="161">
        <f t="shared" ref="O29:O61" si="9">J29/N29</f>
        <v>4.0706395348837212</v>
      </c>
      <c r="Q29" s="81">
        <f>SUM(N29:N131)</f>
        <v>115.15389559380124</v>
      </c>
      <c r="R29" s="171">
        <f>Q29/60</f>
        <v>1.9192315932300206</v>
      </c>
      <c r="S29" s="39">
        <v>0</v>
      </c>
      <c r="T29">
        <f>S29/1000000</f>
        <v>0</v>
      </c>
      <c r="AB29"/>
      <c r="AC29"/>
      <c r="AD29"/>
    </row>
    <row r="30" spans="1:31">
      <c r="A30" s="152">
        <f t="shared" ref="A30:A31" si="10">A29+1</f>
        <v>2</v>
      </c>
      <c r="B30" s="154">
        <v>0</v>
      </c>
      <c r="C30" s="160">
        <f>C29+T30</f>
        <v>-1.99996</v>
      </c>
      <c r="D30" s="160">
        <f>D29</f>
        <v>5.9</v>
      </c>
      <c r="E30" s="161">
        <f t="shared" ref="E30:E96" si="11">O30/1000</f>
        <v>4.0706395348837215E-3</v>
      </c>
      <c r="F30" s="152">
        <f t="shared" si="7"/>
        <v>5.9098170000000003</v>
      </c>
      <c r="G30" s="152">
        <v>50000</v>
      </c>
      <c r="H30" s="152">
        <v>0</v>
      </c>
      <c r="I30" s="159">
        <v>400000</v>
      </c>
      <c r="J30" s="154">
        <v>10</v>
      </c>
      <c r="K30" s="152">
        <f t="shared" ref="K30:K96" si="12">J30/1000</f>
        <v>0.01</v>
      </c>
      <c r="L30" s="153">
        <f>I30*J30</f>
        <v>4000000</v>
      </c>
      <c r="M30" s="153">
        <f t="shared" ref="M30:M96" si="13">MAX($D$3:$D$15)*2</f>
        <v>1628255.8139534884</v>
      </c>
      <c r="N30" s="169">
        <f t="shared" si="8"/>
        <v>2.4566164393344283</v>
      </c>
      <c r="O30" s="161">
        <f t="shared" si="9"/>
        <v>4.0706395348837212</v>
      </c>
      <c r="S30" s="62">
        <v>40</v>
      </c>
      <c r="T30">
        <f>S30/1000000</f>
        <v>4.0000000000000003E-5</v>
      </c>
      <c r="AB30"/>
      <c r="AC30"/>
      <c r="AD30"/>
    </row>
    <row r="31" spans="1:31">
      <c r="A31" s="152">
        <f t="shared" si="10"/>
        <v>3</v>
      </c>
      <c r="B31" s="154">
        <v>0</v>
      </c>
      <c r="C31" s="160">
        <f t="shared" ref="C31:C48" si="14">C30+T31</f>
        <v>-1.9998799999999999</v>
      </c>
      <c r="D31" s="160">
        <f t="shared" ref="D31:D97" si="15">D30</f>
        <v>5.9</v>
      </c>
      <c r="E31" s="161">
        <f t="shared" si="11"/>
        <v>4.0706395348837215E-3</v>
      </c>
      <c r="F31" s="152">
        <f t="shared" si="7"/>
        <v>5.9098170000000003</v>
      </c>
      <c r="G31" s="152">
        <v>50000</v>
      </c>
      <c r="H31" s="152">
        <v>0</v>
      </c>
      <c r="I31" s="159">
        <v>400000</v>
      </c>
      <c r="J31" s="154">
        <v>10</v>
      </c>
      <c r="K31" s="152">
        <f t="shared" si="12"/>
        <v>0.01</v>
      </c>
      <c r="L31" s="153">
        <f>I31*J31</f>
        <v>4000000</v>
      </c>
      <c r="M31" s="153">
        <f t="shared" si="13"/>
        <v>1628255.8139534884</v>
      </c>
      <c r="N31" s="169">
        <f t="shared" si="8"/>
        <v>2.4566164393344283</v>
      </c>
      <c r="O31" s="161">
        <f t="shared" si="9"/>
        <v>4.0706395348837212</v>
      </c>
      <c r="Q31" s="40"/>
      <c r="S31" s="62">
        <v>80</v>
      </c>
      <c r="T31">
        <f t="shared" ref="T31:T48" si="16">S31/1000000</f>
        <v>8.0000000000000007E-5</v>
      </c>
      <c r="AB31"/>
      <c r="AC31"/>
      <c r="AD31"/>
    </row>
    <row r="32" spans="1:31">
      <c r="A32" s="152">
        <f>A31+1</f>
        <v>4</v>
      </c>
      <c r="B32" s="154">
        <v>0</v>
      </c>
      <c r="C32" s="160">
        <f t="shared" si="14"/>
        <v>-1.99976</v>
      </c>
      <c r="D32" s="160">
        <f t="shared" si="15"/>
        <v>5.9</v>
      </c>
      <c r="E32" s="161">
        <f t="shared" si="11"/>
        <v>4.0706395348837215E-3</v>
      </c>
      <c r="F32" s="152">
        <f t="shared" si="7"/>
        <v>5.9098170000000003</v>
      </c>
      <c r="G32" s="152">
        <v>50000</v>
      </c>
      <c r="H32" s="152">
        <v>0</v>
      </c>
      <c r="I32" s="159">
        <v>400000</v>
      </c>
      <c r="J32" s="154">
        <v>10</v>
      </c>
      <c r="K32" s="152">
        <f t="shared" si="12"/>
        <v>0.01</v>
      </c>
      <c r="L32" s="153">
        <f t="shared" ref="L32:L98" si="17">I32*J32</f>
        <v>4000000</v>
      </c>
      <c r="M32" s="153">
        <f t="shared" si="13"/>
        <v>1628255.8139534884</v>
      </c>
      <c r="N32" s="169">
        <f t="shared" si="8"/>
        <v>2.4566164393344283</v>
      </c>
      <c r="O32" s="161">
        <f t="shared" si="9"/>
        <v>4.0706395348837212</v>
      </c>
      <c r="S32" s="62">
        <v>120</v>
      </c>
      <c r="T32">
        <f t="shared" si="16"/>
        <v>1.2E-4</v>
      </c>
      <c r="AB32"/>
      <c r="AC32"/>
      <c r="AD32"/>
    </row>
    <row r="33" spans="1:30">
      <c r="A33" s="152">
        <f t="shared" ref="A33:A36" si="18">A32+1</f>
        <v>5</v>
      </c>
      <c r="B33" s="154">
        <v>0</v>
      </c>
      <c r="C33" s="160">
        <f t="shared" si="14"/>
        <v>-1.9996</v>
      </c>
      <c r="D33" s="160">
        <f t="shared" si="15"/>
        <v>5.9</v>
      </c>
      <c r="E33" s="161">
        <f t="shared" si="11"/>
        <v>4.0706395348837215E-3</v>
      </c>
      <c r="F33" s="152">
        <f t="shared" si="7"/>
        <v>5.9098170000000003</v>
      </c>
      <c r="G33" s="152">
        <v>50000</v>
      </c>
      <c r="H33" s="152">
        <v>0</v>
      </c>
      <c r="I33" s="159">
        <v>400000</v>
      </c>
      <c r="J33" s="154">
        <v>10</v>
      </c>
      <c r="K33" s="152">
        <f t="shared" si="12"/>
        <v>0.01</v>
      </c>
      <c r="L33" s="153">
        <f t="shared" si="17"/>
        <v>4000000</v>
      </c>
      <c r="M33" s="153">
        <f t="shared" si="13"/>
        <v>1628255.8139534884</v>
      </c>
      <c r="N33" s="169">
        <f t="shared" si="8"/>
        <v>2.4566164393344283</v>
      </c>
      <c r="O33" s="161">
        <f t="shared" si="9"/>
        <v>4.0706395348837212</v>
      </c>
      <c r="Q33" s="40"/>
      <c r="S33" s="62">
        <v>160</v>
      </c>
      <c r="T33">
        <f t="shared" si="16"/>
        <v>1.6000000000000001E-4</v>
      </c>
      <c r="AB33"/>
      <c r="AC33"/>
      <c r="AD33"/>
    </row>
    <row r="34" spans="1:30">
      <c r="A34" s="152">
        <f t="shared" si="18"/>
        <v>6</v>
      </c>
      <c r="B34" s="154">
        <v>0</v>
      </c>
      <c r="C34" s="160">
        <f t="shared" si="14"/>
        <v>-1.9994000000000001</v>
      </c>
      <c r="D34" s="160">
        <f t="shared" si="15"/>
        <v>5.9</v>
      </c>
      <c r="E34" s="161">
        <f t="shared" si="11"/>
        <v>4.0706395348837215E-3</v>
      </c>
      <c r="F34" s="152">
        <f t="shared" si="7"/>
        <v>5.9098170000000003</v>
      </c>
      <c r="G34" s="152">
        <v>50000</v>
      </c>
      <c r="H34" s="152">
        <v>0</v>
      </c>
      <c r="I34" s="159">
        <v>400000</v>
      </c>
      <c r="J34" s="154">
        <v>10</v>
      </c>
      <c r="K34" s="152">
        <f t="shared" si="12"/>
        <v>0.01</v>
      </c>
      <c r="L34" s="153">
        <f t="shared" si="17"/>
        <v>4000000</v>
      </c>
      <c r="M34" s="153">
        <f t="shared" si="13"/>
        <v>1628255.8139534884</v>
      </c>
      <c r="N34" s="169">
        <f t="shared" si="8"/>
        <v>2.4566164393344283</v>
      </c>
      <c r="O34" s="161">
        <f t="shared" si="9"/>
        <v>4.0706395348837212</v>
      </c>
      <c r="Q34" s="40"/>
      <c r="S34" s="62">
        <v>200</v>
      </c>
      <c r="T34">
        <f t="shared" si="16"/>
        <v>2.0000000000000001E-4</v>
      </c>
      <c r="AB34"/>
      <c r="AC34"/>
      <c r="AD34"/>
    </row>
    <row r="35" spans="1:30">
      <c r="A35" s="152">
        <f t="shared" si="18"/>
        <v>7</v>
      </c>
      <c r="B35" s="154">
        <v>0</v>
      </c>
      <c r="C35" s="160">
        <f t="shared" si="14"/>
        <v>-1.99916</v>
      </c>
      <c r="D35" s="160">
        <f t="shared" si="15"/>
        <v>5.9</v>
      </c>
      <c r="E35" s="161">
        <f t="shared" si="11"/>
        <v>4.0706395348837215E-3</v>
      </c>
      <c r="F35" s="152">
        <f t="shared" si="7"/>
        <v>5.9098170000000003</v>
      </c>
      <c r="G35" s="152">
        <v>50000</v>
      </c>
      <c r="H35" s="152">
        <v>0</v>
      </c>
      <c r="I35" s="159">
        <v>400000</v>
      </c>
      <c r="J35" s="154">
        <v>10</v>
      </c>
      <c r="K35" s="152">
        <f t="shared" si="12"/>
        <v>0.01</v>
      </c>
      <c r="L35" s="153">
        <f t="shared" si="17"/>
        <v>4000000</v>
      </c>
      <c r="M35" s="153">
        <f t="shared" si="13"/>
        <v>1628255.8139534884</v>
      </c>
      <c r="N35" s="169">
        <f t="shared" si="8"/>
        <v>2.4566164393344283</v>
      </c>
      <c r="O35" s="161">
        <f t="shared" si="9"/>
        <v>4.0706395348837212</v>
      </c>
      <c r="S35" s="62">
        <v>240</v>
      </c>
      <c r="T35">
        <f t="shared" si="16"/>
        <v>2.4000000000000001E-4</v>
      </c>
      <c r="AB35"/>
      <c r="AC35"/>
      <c r="AD35"/>
    </row>
    <row r="36" spans="1:30">
      <c r="A36" s="152">
        <f t="shared" si="18"/>
        <v>8</v>
      </c>
      <c r="B36" s="154">
        <v>0</v>
      </c>
      <c r="C36" s="160">
        <f t="shared" si="14"/>
        <v>-1.99888</v>
      </c>
      <c r="D36" s="160">
        <f t="shared" si="15"/>
        <v>5.9</v>
      </c>
      <c r="E36" s="161">
        <f t="shared" si="11"/>
        <v>4.0706395348837215E-3</v>
      </c>
      <c r="F36" s="152">
        <f t="shared" si="7"/>
        <v>5.9098170000000003</v>
      </c>
      <c r="G36" s="152">
        <v>50000</v>
      </c>
      <c r="H36" s="152">
        <v>0</v>
      </c>
      <c r="I36" s="159">
        <v>400000</v>
      </c>
      <c r="J36" s="154">
        <v>10</v>
      </c>
      <c r="K36" s="152">
        <f t="shared" si="12"/>
        <v>0.01</v>
      </c>
      <c r="L36" s="153">
        <f t="shared" si="17"/>
        <v>4000000</v>
      </c>
      <c r="M36" s="153">
        <f t="shared" si="13"/>
        <v>1628255.8139534884</v>
      </c>
      <c r="N36" s="169">
        <f t="shared" si="8"/>
        <v>2.4566164393344283</v>
      </c>
      <c r="O36" s="161">
        <f t="shared" si="9"/>
        <v>4.0706395348837212</v>
      </c>
      <c r="Q36" s="40"/>
      <c r="S36" s="62">
        <v>280</v>
      </c>
      <c r="T36">
        <f t="shared" si="16"/>
        <v>2.7999999999999998E-4</v>
      </c>
      <c r="AB36"/>
      <c r="AC36"/>
      <c r="AD36"/>
    </row>
    <row r="37" spans="1:30">
      <c r="A37" s="152">
        <f>A36+1</f>
        <v>9</v>
      </c>
      <c r="B37" s="154">
        <v>0</v>
      </c>
      <c r="C37" s="160">
        <f t="shared" si="14"/>
        <v>-1.9985599999999999</v>
      </c>
      <c r="D37" s="160">
        <f t="shared" si="15"/>
        <v>5.9</v>
      </c>
      <c r="E37" s="161">
        <f t="shared" si="11"/>
        <v>4.0706395348837215E-3</v>
      </c>
      <c r="F37" s="152">
        <f t="shared" si="7"/>
        <v>5.9098170000000003</v>
      </c>
      <c r="G37" s="152">
        <v>50000</v>
      </c>
      <c r="H37" s="152">
        <v>0</v>
      </c>
      <c r="I37" s="159">
        <v>400000</v>
      </c>
      <c r="J37" s="154">
        <v>10</v>
      </c>
      <c r="K37" s="152">
        <f t="shared" si="12"/>
        <v>0.01</v>
      </c>
      <c r="L37" s="153">
        <f t="shared" si="17"/>
        <v>4000000</v>
      </c>
      <c r="M37" s="153">
        <f t="shared" si="13"/>
        <v>1628255.8139534884</v>
      </c>
      <c r="N37" s="169">
        <f t="shared" si="8"/>
        <v>2.4566164393344283</v>
      </c>
      <c r="O37" s="161">
        <f t="shared" si="9"/>
        <v>4.0706395348837212</v>
      </c>
      <c r="S37" s="62">
        <v>320</v>
      </c>
      <c r="T37">
        <f t="shared" si="16"/>
        <v>3.2000000000000003E-4</v>
      </c>
      <c r="AB37"/>
      <c r="AC37"/>
      <c r="AD37"/>
    </row>
    <row r="38" spans="1:30">
      <c r="A38" s="152">
        <f t="shared" ref="A38:A104" si="19">A37+1</f>
        <v>10</v>
      </c>
      <c r="B38" s="154">
        <v>0</v>
      </c>
      <c r="C38" s="160">
        <f t="shared" si="14"/>
        <v>-1.9982</v>
      </c>
      <c r="D38" s="160">
        <f t="shared" si="15"/>
        <v>5.9</v>
      </c>
      <c r="E38" s="161">
        <f t="shared" si="11"/>
        <v>4.0706395348837215E-3</v>
      </c>
      <c r="F38" s="152">
        <f t="shared" si="7"/>
        <v>5.9098170000000003</v>
      </c>
      <c r="G38" s="152">
        <v>50000</v>
      </c>
      <c r="H38" s="152">
        <v>0</v>
      </c>
      <c r="I38" s="159">
        <v>400000</v>
      </c>
      <c r="J38" s="154">
        <v>10</v>
      </c>
      <c r="K38" s="152">
        <f t="shared" si="12"/>
        <v>0.01</v>
      </c>
      <c r="L38" s="153">
        <f t="shared" si="17"/>
        <v>4000000</v>
      </c>
      <c r="M38" s="153">
        <f t="shared" si="13"/>
        <v>1628255.8139534884</v>
      </c>
      <c r="N38" s="169">
        <f t="shared" si="8"/>
        <v>2.4566164393344283</v>
      </c>
      <c r="O38" s="161">
        <f t="shared" si="9"/>
        <v>4.0706395348837212</v>
      </c>
      <c r="Q38" s="40"/>
      <c r="S38" s="62">
        <v>360</v>
      </c>
      <c r="T38">
        <f t="shared" si="16"/>
        <v>3.6000000000000002E-4</v>
      </c>
      <c r="AB38"/>
      <c r="AC38"/>
      <c r="AD38"/>
    </row>
    <row r="39" spans="1:30">
      <c r="A39" s="152">
        <f t="shared" si="19"/>
        <v>11</v>
      </c>
      <c r="B39" s="154">
        <v>0</v>
      </c>
      <c r="C39" s="160">
        <f t="shared" si="14"/>
        <v>-1.9978</v>
      </c>
      <c r="D39" s="160">
        <f t="shared" si="15"/>
        <v>5.9</v>
      </c>
      <c r="E39" s="161">
        <f t="shared" si="11"/>
        <v>4.0706395348837215E-3</v>
      </c>
      <c r="F39" s="152">
        <f t="shared" si="7"/>
        <v>5.9098170000000003</v>
      </c>
      <c r="G39" s="152">
        <v>50000</v>
      </c>
      <c r="H39" s="152">
        <v>0</v>
      </c>
      <c r="I39" s="159">
        <v>400000</v>
      </c>
      <c r="J39" s="154">
        <v>10</v>
      </c>
      <c r="K39" s="152">
        <f t="shared" si="12"/>
        <v>0.01</v>
      </c>
      <c r="L39" s="153">
        <f t="shared" si="17"/>
        <v>4000000</v>
      </c>
      <c r="M39" s="153">
        <f t="shared" si="13"/>
        <v>1628255.8139534884</v>
      </c>
      <c r="N39" s="169">
        <f t="shared" si="8"/>
        <v>2.4566164393344283</v>
      </c>
      <c r="O39" s="161">
        <f t="shared" si="9"/>
        <v>4.0706395348837212</v>
      </c>
      <c r="Q39" s="40"/>
      <c r="S39" s="62">
        <v>400</v>
      </c>
      <c r="T39">
        <f t="shared" si="16"/>
        <v>4.0000000000000002E-4</v>
      </c>
      <c r="AB39"/>
      <c r="AC39"/>
      <c r="AD39"/>
    </row>
    <row r="40" spans="1:30">
      <c r="A40" s="152">
        <f t="shared" si="19"/>
        <v>12</v>
      </c>
      <c r="B40" s="154">
        <v>0</v>
      </c>
      <c r="C40" s="160">
        <f t="shared" si="14"/>
        <v>-1.99736</v>
      </c>
      <c r="D40" s="160">
        <f t="shared" si="15"/>
        <v>5.9</v>
      </c>
      <c r="E40" s="161">
        <f t="shared" si="11"/>
        <v>4.0706395348837215E-3</v>
      </c>
      <c r="F40" s="152">
        <f t="shared" si="7"/>
        <v>5.9098170000000003</v>
      </c>
      <c r="G40" s="152">
        <v>50000</v>
      </c>
      <c r="H40" s="152">
        <v>0</v>
      </c>
      <c r="I40" s="159">
        <v>400000</v>
      </c>
      <c r="J40" s="154">
        <v>10</v>
      </c>
      <c r="K40" s="152">
        <f t="shared" si="12"/>
        <v>0.01</v>
      </c>
      <c r="L40" s="153">
        <f t="shared" si="17"/>
        <v>4000000</v>
      </c>
      <c r="M40" s="153">
        <f t="shared" si="13"/>
        <v>1628255.8139534884</v>
      </c>
      <c r="N40" s="169">
        <f t="shared" si="8"/>
        <v>2.4566164393344283</v>
      </c>
      <c r="O40" s="161">
        <f t="shared" si="9"/>
        <v>4.0706395348837212</v>
      </c>
      <c r="S40" s="62">
        <v>440</v>
      </c>
      <c r="T40">
        <f t="shared" si="16"/>
        <v>4.4000000000000002E-4</v>
      </c>
      <c r="AB40"/>
      <c r="AC40"/>
      <c r="AD40"/>
    </row>
    <row r="41" spans="1:30">
      <c r="A41" s="152">
        <f t="shared" si="19"/>
        <v>13</v>
      </c>
      <c r="B41" s="154">
        <v>0</v>
      </c>
      <c r="C41" s="160">
        <f t="shared" si="14"/>
        <v>-1.99688</v>
      </c>
      <c r="D41" s="160">
        <f t="shared" si="15"/>
        <v>5.9</v>
      </c>
      <c r="E41" s="161">
        <f t="shared" si="11"/>
        <v>4.0706395348837215E-3</v>
      </c>
      <c r="F41" s="152">
        <f t="shared" si="7"/>
        <v>5.9098170000000003</v>
      </c>
      <c r="G41" s="152">
        <v>50000</v>
      </c>
      <c r="H41" s="152">
        <v>0</v>
      </c>
      <c r="I41" s="159">
        <v>400000</v>
      </c>
      <c r="J41" s="154">
        <v>10</v>
      </c>
      <c r="K41" s="152">
        <f t="shared" si="12"/>
        <v>0.01</v>
      </c>
      <c r="L41" s="153">
        <f t="shared" si="17"/>
        <v>4000000</v>
      </c>
      <c r="M41" s="153">
        <f t="shared" si="13"/>
        <v>1628255.8139534884</v>
      </c>
      <c r="N41" s="169">
        <f t="shared" si="8"/>
        <v>2.4566164393344283</v>
      </c>
      <c r="O41" s="161">
        <f t="shared" si="9"/>
        <v>4.0706395348837212</v>
      </c>
      <c r="Q41" s="40"/>
      <c r="S41" s="62">
        <v>480</v>
      </c>
      <c r="T41">
        <f t="shared" si="16"/>
        <v>4.8000000000000001E-4</v>
      </c>
      <c r="AB41"/>
      <c r="AC41"/>
      <c r="AD41"/>
    </row>
    <row r="42" spans="1:30">
      <c r="A42" s="152">
        <f>A41+1</f>
        <v>14</v>
      </c>
      <c r="B42" s="154">
        <v>0</v>
      </c>
      <c r="C42" s="160">
        <f t="shared" si="14"/>
        <v>-1.9963599999999999</v>
      </c>
      <c r="D42" s="160">
        <f t="shared" si="15"/>
        <v>5.9</v>
      </c>
      <c r="E42" s="161">
        <f t="shared" si="11"/>
        <v>4.0706395348837215E-3</v>
      </c>
      <c r="F42" s="152">
        <f t="shared" si="7"/>
        <v>5.9098170000000003</v>
      </c>
      <c r="G42" s="152">
        <v>50000</v>
      </c>
      <c r="H42" s="152">
        <v>0</v>
      </c>
      <c r="I42" s="159">
        <v>400000</v>
      </c>
      <c r="J42" s="154">
        <v>10</v>
      </c>
      <c r="K42" s="152">
        <f t="shared" si="12"/>
        <v>0.01</v>
      </c>
      <c r="L42" s="153">
        <f t="shared" si="17"/>
        <v>4000000</v>
      </c>
      <c r="M42" s="153">
        <f t="shared" si="13"/>
        <v>1628255.8139534884</v>
      </c>
      <c r="N42" s="169">
        <f t="shared" si="8"/>
        <v>2.4566164393344283</v>
      </c>
      <c r="O42" s="161">
        <f t="shared" si="9"/>
        <v>4.0706395348837212</v>
      </c>
      <c r="S42" s="62">
        <v>520</v>
      </c>
      <c r="T42">
        <f t="shared" si="16"/>
        <v>5.1999999999999995E-4</v>
      </c>
      <c r="AB42"/>
      <c r="AC42"/>
      <c r="AD42"/>
    </row>
    <row r="43" spans="1:30">
      <c r="A43" s="152">
        <f t="shared" si="19"/>
        <v>15</v>
      </c>
      <c r="B43" s="154">
        <v>0</v>
      </c>
      <c r="C43" s="160">
        <f t="shared" si="14"/>
        <v>-1.9958</v>
      </c>
      <c r="D43" s="160">
        <f t="shared" si="15"/>
        <v>5.9</v>
      </c>
      <c r="E43" s="161">
        <f t="shared" si="11"/>
        <v>4.0706395348837215E-3</v>
      </c>
      <c r="F43" s="152">
        <f t="shared" si="7"/>
        <v>5.9098170000000003</v>
      </c>
      <c r="G43" s="152">
        <v>50000</v>
      </c>
      <c r="H43" s="152">
        <v>0</v>
      </c>
      <c r="I43" s="159">
        <v>400000</v>
      </c>
      <c r="J43" s="154">
        <v>10</v>
      </c>
      <c r="K43" s="152">
        <f t="shared" si="12"/>
        <v>0.01</v>
      </c>
      <c r="L43" s="153">
        <f t="shared" si="17"/>
        <v>4000000</v>
      </c>
      <c r="M43" s="153">
        <f t="shared" si="13"/>
        <v>1628255.8139534884</v>
      </c>
      <c r="N43" s="169">
        <f t="shared" si="8"/>
        <v>2.4566164393344283</v>
      </c>
      <c r="O43" s="161">
        <f t="shared" si="9"/>
        <v>4.0706395348837212</v>
      </c>
      <c r="Q43" s="40"/>
      <c r="S43" s="62">
        <v>560</v>
      </c>
      <c r="T43">
        <f t="shared" si="16"/>
        <v>5.5999999999999995E-4</v>
      </c>
      <c r="AB43"/>
      <c r="AC43"/>
      <c r="AD43"/>
    </row>
    <row r="44" spans="1:30">
      <c r="A44" s="152">
        <f t="shared" si="19"/>
        <v>16</v>
      </c>
      <c r="B44" s="154">
        <v>0</v>
      </c>
      <c r="C44" s="160">
        <f t="shared" si="14"/>
        <v>-1.9952000000000001</v>
      </c>
      <c r="D44" s="160">
        <f t="shared" si="15"/>
        <v>5.9</v>
      </c>
      <c r="E44" s="161">
        <f t="shared" si="11"/>
        <v>4.0706395348837215E-3</v>
      </c>
      <c r="F44" s="152">
        <f t="shared" si="7"/>
        <v>5.9098170000000003</v>
      </c>
      <c r="G44" s="152">
        <v>50000</v>
      </c>
      <c r="H44" s="152">
        <v>0</v>
      </c>
      <c r="I44" s="159">
        <v>400000</v>
      </c>
      <c r="J44" s="154">
        <v>10</v>
      </c>
      <c r="K44" s="152">
        <f t="shared" si="12"/>
        <v>0.01</v>
      </c>
      <c r="L44" s="153">
        <f t="shared" si="17"/>
        <v>4000000</v>
      </c>
      <c r="M44" s="153">
        <f t="shared" si="13"/>
        <v>1628255.8139534884</v>
      </c>
      <c r="N44" s="169">
        <f t="shared" si="8"/>
        <v>2.4566164393344283</v>
      </c>
      <c r="O44" s="161">
        <f t="shared" si="9"/>
        <v>4.0706395348837212</v>
      </c>
      <c r="Q44" s="40"/>
      <c r="S44" s="62">
        <v>600</v>
      </c>
      <c r="T44">
        <f t="shared" si="16"/>
        <v>5.9999999999999995E-4</v>
      </c>
      <c r="AB44"/>
      <c r="AC44"/>
      <c r="AD44"/>
    </row>
    <row r="45" spans="1:30">
      <c r="A45" s="152">
        <f t="shared" si="19"/>
        <v>17</v>
      </c>
      <c r="B45" s="154">
        <v>0</v>
      </c>
      <c r="C45" s="160">
        <f t="shared" si="14"/>
        <v>-1.9945000000000002</v>
      </c>
      <c r="D45" s="160">
        <f t="shared" si="15"/>
        <v>5.9</v>
      </c>
      <c r="E45" s="161">
        <f t="shared" si="11"/>
        <v>4.0706395348837215E-3</v>
      </c>
      <c r="F45" s="152">
        <f t="shared" si="7"/>
        <v>5.9098170000000003</v>
      </c>
      <c r="G45" s="152">
        <v>50000</v>
      </c>
      <c r="H45" s="152">
        <v>0</v>
      </c>
      <c r="I45" s="159">
        <v>400000</v>
      </c>
      <c r="J45" s="154">
        <v>10</v>
      </c>
      <c r="K45" s="152">
        <f t="shared" si="12"/>
        <v>0.01</v>
      </c>
      <c r="L45" s="153">
        <f t="shared" si="17"/>
        <v>4000000</v>
      </c>
      <c r="M45" s="153">
        <f t="shared" si="13"/>
        <v>1628255.8139534884</v>
      </c>
      <c r="N45" s="169">
        <f t="shared" si="8"/>
        <v>2.4566164393344283</v>
      </c>
      <c r="O45" s="161">
        <f t="shared" si="9"/>
        <v>4.0706395348837212</v>
      </c>
      <c r="S45" s="62">
        <v>700</v>
      </c>
      <c r="T45">
        <f t="shared" si="16"/>
        <v>6.9999999999999999E-4</v>
      </c>
      <c r="AB45"/>
      <c r="AC45"/>
      <c r="AD45"/>
    </row>
    <row r="46" spans="1:30">
      <c r="A46" s="152">
        <f t="shared" si="19"/>
        <v>18</v>
      </c>
      <c r="B46" s="154">
        <v>0</v>
      </c>
      <c r="C46" s="160">
        <f t="shared" si="14"/>
        <v>-1.9937000000000002</v>
      </c>
      <c r="D46" s="160">
        <f t="shared" si="15"/>
        <v>5.9</v>
      </c>
      <c r="E46" s="161">
        <f t="shared" si="11"/>
        <v>4.0706395348837215E-3</v>
      </c>
      <c r="F46" s="152">
        <f t="shared" si="7"/>
        <v>5.9098170000000003</v>
      </c>
      <c r="G46" s="152">
        <v>50000</v>
      </c>
      <c r="H46" s="152">
        <v>0</v>
      </c>
      <c r="I46" s="159">
        <v>400000</v>
      </c>
      <c r="J46" s="154">
        <v>10</v>
      </c>
      <c r="K46" s="152">
        <f t="shared" si="12"/>
        <v>0.01</v>
      </c>
      <c r="L46" s="153">
        <f t="shared" si="17"/>
        <v>4000000</v>
      </c>
      <c r="M46" s="153">
        <f t="shared" si="13"/>
        <v>1628255.8139534884</v>
      </c>
      <c r="N46" s="169">
        <f t="shared" si="8"/>
        <v>2.4566164393344283</v>
      </c>
      <c r="O46" s="161">
        <f t="shared" si="9"/>
        <v>4.0706395348837212</v>
      </c>
      <c r="Q46" s="40"/>
      <c r="S46" s="62">
        <v>800</v>
      </c>
      <c r="T46">
        <f t="shared" si="16"/>
        <v>8.0000000000000004E-4</v>
      </c>
      <c r="AB46"/>
      <c r="AC46"/>
      <c r="AD46"/>
    </row>
    <row r="47" spans="1:30">
      <c r="A47" s="152">
        <f>A46+1</f>
        <v>19</v>
      </c>
      <c r="B47" s="154">
        <v>0</v>
      </c>
      <c r="C47" s="160">
        <f t="shared" si="14"/>
        <v>-1.9928000000000003</v>
      </c>
      <c r="D47" s="160">
        <f t="shared" si="15"/>
        <v>5.9</v>
      </c>
      <c r="E47" s="161">
        <f t="shared" si="11"/>
        <v>4.0706395348837215E-3</v>
      </c>
      <c r="F47" s="152">
        <f t="shared" si="7"/>
        <v>5.9098170000000003</v>
      </c>
      <c r="G47" s="152">
        <v>50000</v>
      </c>
      <c r="H47" s="152">
        <v>0</v>
      </c>
      <c r="I47" s="159">
        <v>400000</v>
      </c>
      <c r="J47" s="154">
        <v>10</v>
      </c>
      <c r="K47" s="152">
        <f t="shared" si="12"/>
        <v>0.01</v>
      </c>
      <c r="L47" s="153">
        <f t="shared" si="17"/>
        <v>4000000</v>
      </c>
      <c r="M47" s="153">
        <f t="shared" si="13"/>
        <v>1628255.8139534884</v>
      </c>
      <c r="N47" s="169">
        <f t="shared" si="8"/>
        <v>2.4566164393344283</v>
      </c>
      <c r="O47" s="161">
        <f t="shared" si="9"/>
        <v>4.0706395348837212</v>
      </c>
      <c r="S47" s="62">
        <v>900</v>
      </c>
      <c r="T47">
        <f t="shared" si="16"/>
        <v>8.9999999999999998E-4</v>
      </c>
      <c r="AB47"/>
      <c r="AC47"/>
      <c r="AD47"/>
    </row>
    <row r="48" spans="1:30">
      <c r="A48" s="152">
        <f t="shared" si="19"/>
        <v>20</v>
      </c>
      <c r="B48" s="154">
        <v>0</v>
      </c>
      <c r="C48" s="160">
        <f t="shared" si="14"/>
        <v>-1.9918000000000005</v>
      </c>
      <c r="D48" s="160">
        <f t="shared" si="15"/>
        <v>5.9</v>
      </c>
      <c r="E48" s="161">
        <f t="shared" si="11"/>
        <v>4.0706395348837215E-3</v>
      </c>
      <c r="F48" s="152">
        <f t="shared" si="7"/>
        <v>5.9098170000000003</v>
      </c>
      <c r="G48" s="152">
        <v>50000</v>
      </c>
      <c r="H48" s="152">
        <v>0</v>
      </c>
      <c r="I48" s="159">
        <v>400000</v>
      </c>
      <c r="J48" s="154">
        <v>10</v>
      </c>
      <c r="K48" s="152">
        <f t="shared" si="12"/>
        <v>0.01</v>
      </c>
      <c r="L48" s="153">
        <f t="shared" si="17"/>
        <v>4000000</v>
      </c>
      <c r="M48" s="153">
        <f t="shared" si="13"/>
        <v>1628255.8139534884</v>
      </c>
      <c r="N48" s="169">
        <f t="shared" si="8"/>
        <v>2.4566164393344283</v>
      </c>
      <c r="O48" s="161">
        <f t="shared" si="9"/>
        <v>4.0706395348837212</v>
      </c>
      <c r="Q48" s="40"/>
      <c r="S48" s="62">
        <v>1000</v>
      </c>
      <c r="T48">
        <f t="shared" si="16"/>
        <v>1E-3</v>
      </c>
      <c r="AB48"/>
      <c r="AC48"/>
      <c r="AD48"/>
    </row>
    <row r="49" spans="1:30">
      <c r="A49" s="152"/>
      <c r="B49" s="152"/>
      <c r="C49" s="170"/>
      <c r="D49" s="170"/>
      <c r="E49" s="161"/>
      <c r="F49" s="152"/>
      <c r="G49" s="152"/>
      <c r="H49" s="152"/>
      <c r="I49" s="153"/>
      <c r="J49" s="152"/>
      <c r="K49" s="152"/>
      <c r="L49" s="153"/>
      <c r="M49" s="153"/>
      <c r="N49" s="169"/>
      <c r="O49" s="161"/>
      <c r="Q49" s="40"/>
      <c r="S49" s="62"/>
      <c r="AB49"/>
      <c r="AC49"/>
      <c r="AD49"/>
    </row>
    <row r="50" spans="1:30">
      <c r="A50" s="152">
        <f>A48+1</f>
        <v>21</v>
      </c>
      <c r="B50" s="154">
        <v>0</v>
      </c>
      <c r="C50" s="160">
        <f>C48+0.005</f>
        <v>-1.9868000000000006</v>
      </c>
      <c r="D50" s="160">
        <f>D48</f>
        <v>5.9</v>
      </c>
      <c r="E50" s="161">
        <f t="shared" si="11"/>
        <v>1.6282558139534885E-3</v>
      </c>
      <c r="F50" s="152">
        <f t="shared" si="7"/>
        <v>5.9098170000000003</v>
      </c>
      <c r="G50" s="152">
        <v>50000</v>
      </c>
      <c r="H50" s="152">
        <v>0</v>
      </c>
      <c r="I50" s="159">
        <v>1000000</v>
      </c>
      <c r="J50" s="154">
        <v>10</v>
      </c>
      <c r="K50" s="152">
        <f t="shared" si="12"/>
        <v>0.01</v>
      </c>
      <c r="L50" s="153">
        <f t="shared" si="17"/>
        <v>10000000</v>
      </c>
      <c r="M50" s="153">
        <f t="shared" si="13"/>
        <v>1628255.8139534884</v>
      </c>
      <c r="N50" s="169">
        <f t="shared" si="8"/>
        <v>6.141541098336071</v>
      </c>
      <c r="O50" s="161">
        <f t="shared" si="9"/>
        <v>1.6282558139534884</v>
      </c>
      <c r="Q50" s="40"/>
      <c r="S50" s="62"/>
      <c r="T50" s="62"/>
      <c r="AB50"/>
      <c r="AC50"/>
      <c r="AD50"/>
    </row>
    <row r="51" spans="1:30">
      <c r="A51" s="152">
        <f t="shared" si="19"/>
        <v>22</v>
      </c>
      <c r="B51" s="154">
        <v>0</v>
      </c>
      <c r="C51" s="160">
        <f t="shared" ref="C51:C98" si="20">C50+0.001</f>
        <v>-1.9858000000000007</v>
      </c>
      <c r="D51" s="160">
        <f t="shared" si="15"/>
        <v>5.9</v>
      </c>
      <c r="E51" s="161">
        <f t="shared" si="11"/>
        <v>1.809173126614987E-3</v>
      </c>
      <c r="F51" s="152">
        <f t="shared" si="7"/>
        <v>5.9098170000000003</v>
      </c>
      <c r="G51" s="152">
        <v>50000</v>
      </c>
      <c r="H51" s="152">
        <v>0</v>
      </c>
      <c r="I51" s="159">
        <v>900000</v>
      </c>
      <c r="J51" s="154">
        <v>10</v>
      </c>
      <c r="K51" s="152">
        <f t="shared" si="12"/>
        <v>0.01</v>
      </c>
      <c r="L51" s="153">
        <f t="shared" si="17"/>
        <v>9000000</v>
      </c>
      <c r="M51" s="153">
        <f t="shared" si="13"/>
        <v>1628255.8139534884</v>
      </c>
      <c r="N51" s="169">
        <f t="shared" si="8"/>
        <v>5.5273869885024638</v>
      </c>
      <c r="O51" s="161">
        <f t="shared" si="9"/>
        <v>1.8091731266149871</v>
      </c>
      <c r="S51" s="62"/>
      <c r="T51" s="62"/>
      <c r="AB51"/>
      <c r="AC51"/>
      <c r="AD51"/>
    </row>
    <row r="52" spans="1:30">
      <c r="A52" s="152">
        <f t="shared" si="19"/>
        <v>23</v>
      </c>
      <c r="B52" s="154">
        <v>0</v>
      </c>
      <c r="C52" s="160">
        <f t="shared" si="20"/>
        <v>-1.9848000000000008</v>
      </c>
      <c r="D52" s="160">
        <f t="shared" si="15"/>
        <v>5.9</v>
      </c>
      <c r="E52" s="161">
        <f t="shared" si="11"/>
        <v>2.0353197674418608E-3</v>
      </c>
      <c r="F52" s="152">
        <f t="shared" si="7"/>
        <v>5.9098170000000003</v>
      </c>
      <c r="G52" s="152">
        <v>50000</v>
      </c>
      <c r="H52" s="152">
        <v>0</v>
      </c>
      <c r="I52" s="159">
        <v>800000</v>
      </c>
      <c r="J52" s="154">
        <v>10</v>
      </c>
      <c r="K52" s="152">
        <f t="shared" si="12"/>
        <v>0.01</v>
      </c>
      <c r="L52" s="153">
        <f t="shared" si="17"/>
        <v>8000000</v>
      </c>
      <c r="M52" s="153">
        <f t="shared" si="13"/>
        <v>1628255.8139534884</v>
      </c>
      <c r="N52" s="169">
        <f t="shared" si="8"/>
        <v>4.9132328786688566</v>
      </c>
      <c r="O52" s="161">
        <f t="shared" si="9"/>
        <v>2.0353197674418606</v>
      </c>
      <c r="Q52" s="40"/>
      <c r="S52" s="62"/>
      <c r="T52" s="62"/>
      <c r="AB52"/>
      <c r="AC52"/>
      <c r="AD52"/>
    </row>
    <row r="53" spans="1:30">
      <c r="A53" s="152">
        <f>A52+1</f>
        <v>24</v>
      </c>
      <c r="B53" s="154">
        <v>0</v>
      </c>
      <c r="C53" s="160">
        <f t="shared" si="20"/>
        <v>-1.9838000000000009</v>
      </c>
      <c r="D53" s="160">
        <f t="shared" si="15"/>
        <v>5.9</v>
      </c>
      <c r="E53" s="161">
        <f t="shared" si="11"/>
        <v>2.3260797342192696E-3</v>
      </c>
      <c r="F53" s="152">
        <f t="shared" si="7"/>
        <v>5.9098170000000003</v>
      </c>
      <c r="G53" s="152">
        <v>50000</v>
      </c>
      <c r="H53" s="152">
        <v>0</v>
      </c>
      <c r="I53" s="159">
        <v>700000</v>
      </c>
      <c r="J53" s="154">
        <v>10</v>
      </c>
      <c r="K53" s="152">
        <f t="shared" si="12"/>
        <v>0.01</v>
      </c>
      <c r="L53" s="153">
        <f t="shared" si="17"/>
        <v>7000000</v>
      </c>
      <c r="M53" s="153">
        <f t="shared" si="13"/>
        <v>1628255.8139534884</v>
      </c>
      <c r="N53" s="169">
        <f t="shared" si="8"/>
        <v>4.2990787688352494</v>
      </c>
      <c r="O53" s="161">
        <f t="shared" si="9"/>
        <v>2.3260797342192694</v>
      </c>
      <c r="S53" s="39"/>
      <c r="T53" s="27"/>
      <c r="AB53"/>
      <c r="AC53"/>
      <c r="AD53"/>
    </row>
    <row r="54" spans="1:30">
      <c r="A54" s="152">
        <f t="shared" si="19"/>
        <v>25</v>
      </c>
      <c r="B54" s="154">
        <v>0</v>
      </c>
      <c r="C54" s="160">
        <f t="shared" si="20"/>
        <v>-1.982800000000001</v>
      </c>
      <c r="D54" s="160">
        <f t="shared" si="15"/>
        <v>5.9</v>
      </c>
      <c r="E54" s="161">
        <f t="shared" si="11"/>
        <v>2.7137596899224803E-3</v>
      </c>
      <c r="F54" s="152">
        <f t="shared" si="7"/>
        <v>5.9098170000000003</v>
      </c>
      <c r="G54" s="152">
        <v>50000</v>
      </c>
      <c r="H54" s="152">
        <v>0</v>
      </c>
      <c r="I54" s="159">
        <v>600000</v>
      </c>
      <c r="J54" s="154">
        <v>10</v>
      </c>
      <c r="K54" s="152">
        <f t="shared" si="12"/>
        <v>0.01</v>
      </c>
      <c r="L54" s="153">
        <f t="shared" si="17"/>
        <v>6000000</v>
      </c>
      <c r="M54" s="153">
        <f t="shared" si="13"/>
        <v>1628255.8139534884</v>
      </c>
      <c r="N54" s="169">
        <f t="shared" si="8"/>
        <v>3.6849246590016427</v>
      </c>
      <c r="O54" s="161">
        <f t="shared" si="9"/>
        <v>2.7137596899224805</v>
      </c>
      <c r="Q54" s="40"/>
      <c r="S54" s="39"/>
      <c r="T54" s="27"/>
      <c r="AB54"/>
      <c r="AC54"/>
      <c r="AD54"/>
    </row>
    <row r="55" spans="1:30">
      <c r="A55" s="152">
        <f t="shared" si="19"/>
        <v>26</v>
      </c>
      <c r="B55" s="154">
        <v>0</v>
      </c>
      <c r="C55" s="160">
        <f t="shared" si="20"/>
        <v>-1.9818000000000011</v>
      </c>
      <c r="D55" s="160">
        <f t="shared" si="15"/>
        <v>5.9</v>
      </c>
      <c r="E55" s="161">
        <f t="shared" si="11"/>
        <v>3.256511627906977E-3</v>
      </c>
      <c r="F55" s="152">
        <f t="shared" si="7"/>
        <v>5.9098170000000003</v>
      </c>
      <c r="G55" s="152">
        <v>50000</v>
      </c>
      <c r="H55" s="152">
        <v>0</v>
      </c>
      <c r="I55" s="159">
        <v>500000</v>
      </c>
      <c r="J55" s="154">
        <v>10</v>
      </c>
      <c r="K55" s="152">
        <f t="shared" si="12"/>
        <v>0.01</v>
      </c>
      <c r="L55" s="153">
        <f t="shared" si="17"/>
        <v>5000000</v>
      </c>
      <c r="M55" s="153">
        <f t="shared" si="13"/>
        <v>1628255.8139534884</v>
      </c>
      <c r="N55" s="169">
        <f t="shared" si="8"/>
        <v>3.0707705491680355</v>
      </c>
      <c r="O55" s="161">
        <f t="shared" si="9"/>
        <v>3.2565116279069768</v>
      </c>
      <c r="Q55" s="40"/>
      <c r="S55" s="39"/>
      <c r="T55" s="27"/>
      <c r="AB55"/>
      <c r="AC55"/>
      <c r="AD55"/>
    </row>
    <row r="56" spans="1:30">
      <c r="A56" s="152">
        <f t="shared" si="19"/>
        <v>27</v>
      </c>
      <c r="B56" s="154">
        <v>0</v>
      </c>
      <c r="C56" s="160">
        <f t="shared" si="20"/>
        <v>-1.9808000000000012</v>
      </c>
      <c r="D56" s="160">
        <f t="shared" si="15"/>
        <v>5.9</v>
      </c>
      <c r="E56" s="161">
        <f t="shared" si="11"/>
        <v>3.618346253229974E-3</v>
      </c>
      <c r="F56" s="152">
        <f t="shared" si="7"/>
        <v>5.9098170000000003</v>
      </c>
      <c r="G56" s="152">
        <v>50000</v>
      </c>
      <c r="H56" s="152">
        <v>0</v>
      </c>
      <c r="I56" s="159">
        <v>450000</v>
      </c>
      <c r="J56" s="154">
        <v>10</v>
      </c>
      <c r="K56" s="152">
        <f t="shared" si="12"/>
        <v>0.01</v>
      </c>
      <c r="L56" s="153">
        <f t="shared" si="17"/>
        <v>4500000</v>
      </c>
      <c r="M56" s="153">
        <f t="shared" si="13"/>
        <v>1628255.8139534884</v>
      </c>
      <c r="N56" s="169">
        <f t="shared" si="8"/>
        <v>2.7636934942512319</v>
      </c>
      <c r="O56" s="161">
        <f t="shared" si="9"/>
        <v>3.6183462532299742</v>
      </c>
      <c r="S56" s="39"/>
      <c r="T56" s="27"/>
      <c r="AB56"/>
      <c r="AC56"/>
      <c r="AD56"/>
    </row>
    <row r="57" spans="1:30">
      <c r="A57" s="152">
        <f t="shared" si="19"/>
        <v>28</v>
      </c>
      <c r="B57" s="154">
        <v>0</v>
      </c>
      <c r="C57" s="160">
        <f t="shared" si="20"/>
        <v>-1.9798000000000013</v>
      </c>
      <c r="D57" s="160">
        <f t="shared" si="15"/>
        <v>5.9</v>
      </c>
      <c r="E57" s="161">
        <f t="shared" si="11"/>
        <v>4.0706395348837215E-3</v>
      </c>
      <c r="F57" s="152">
        <f t="shared" si="7"/>
        <v>5.9098170000000003</v>
      </c>
      <c r="G57" s="152">
        <v>50000</v>
      </c>
      <c r="H57" s="152">
        <v>0</v>
      </c>
      <c r="I57" s="159">
        <v>400000</v>
      </c>
      <c r="J57" s="154">
        <v>10</v>
      </c>
      <c r="K57" s="152">
        <f t="shared" si="12"/>
        <v>0.01</v>
      </c>
      <c r="L57" s="153">
        <f t="shared" si="17"/>
        <v>4000000</v>
      </c>
      <c r="M57" s="153">
        <f t="shared" si="13"/>
        <v>1628255.8139534884</v>
      </c>
      <c r="N57" s="169">
        <f t="shared" si="8"/>
        <v>2.4566164393344283</v>
      </c>
      <c r="O57" s="161">
        <f t="shared" si="9"/>
        <v>4.0706395348837212</v>
      </c>
      <c r="Q57" s="40"/>
      <c r="S57" s="39"/>
      <c r="T57" s="27"/>
      <c r="AB57"/>
      <c r="AC57"/>
      <c r="AD57"/>
    </row>
    <row r="58" spans="1:30">
      <c r="A58" s="152">
        <f>A57+1</f>
        <v>29</v>
      </c>
      <c r="B58" s="154">
        <v>0</v>
      </c>
      <c r="C58" s="160">
        <f t="shared" si="20"/>
        <v>-1.9788000000000014</v>
      </c>
      <c r="D58" s="160">
        <f t="shared" si="15"/>
        <v>5.9</v>
      </c>
      <c r="E58" s="161">
        <f t="shared" si="11"/>
        <v>4.6521594684385392E-3</v>
      </c>
      <c r="F58" s="152">
        <f t="shared" si="7"/>
        <v>5.9098170000000003</v>
      </c>
      <c r="G58" s="152">
        <v>50000</v>
      </c>
      <c r="H58" s="152">
        <v>0</v>
      </c>
      <c r="I58" s="159">
        <v>350000</v>
      </c>
      <c r="J58" s="154">
        <v>10</v>
      </c>
      <c r="K58" s="152">
        <f t="shared" si="12"/>
        <v>0.01</v>
      </c>
      <c r="L58" s="153">
        <f t="shared" si="17"/>
        <v>3500000</v>
      </c>
      <c r="M58" s="153">
        <f t="shared" si="13"/>
        <v>1628255.8139534884</v>
      </c>
      <c r="N58" s="169">
        <f t="shared" si="8"/>
        <v>2.1495393844176247</v>
      </c>
      <c r="O58" s="161">
        <f t="shared" si="9"/>
        <v>4.6521594684385388</v>
      </c>
      <c r="S58" s="39"/>
      <c r="T58" s="27"/>
      <c r="AB58"/>
      <c r="AC58"/>
      <c r="AD58"/>
    </row>
    <row r="59" spans="1:30">
      <c r="A59" s="152">
        <f t="shared" si="19"/>
        <v>30</v>
      </c>
      <c r="B59" s="154">
        <v>0</v>
      </c>
      <c r="C59" s="160">
        <f t="shared" si="20"/>
        <v>-1.9778000000000016</v>
      </c>
      <c r="D59" s="160">
        <f t="shared" si="15"/>
        <v>5.9</v>
      </c>
      <c r="E59" s="161">
        <f t="shared" si="11"/>
        <v>5.4275193798449606E-3</v>
      </c>
      <c r="F59" s="152">
        <f t="shared" si="7"/>
        <v>5.9098170000000003</v>
      </c>
      <c r="G59" s="152">
        <v>50000</v>
      </c>
      <c r="H59" s="152">
        <v>0</v>
      </c>
      <c r="I59" s="159">
        <v>300000</v>
      </c>
      <c r="J59" s="154">
        <v>10</v>
      </c>
      <c r="K59" s="152">
        <f t="shared" si="12"/>
        <v>0.01</v>
      </c>
      <c r="L59" s="153">
        <f t="shared" si="17"/>
        <v>3000000</v>
      </c>
      <c r="M59" s="153">
        <f t="shared" si="13"/>
        <v>1628255.8139534884</v>
      </c>
      <c r="N59" s="169">
        <f t="shared" si="8"/>
        <v>1.8424623295008213</v>
      </c>
      <c r="O59" s="161">
        <f t="shared" si="9"/>
        <v>5.427519379844961</v>
      </c>
      <c r="Q59" s="40"/>
      <c r="S59" s="39"/>
      <c r="T59" s="27"/>
      <c r="AB59"/>
      <c r="AC59"/>
      <c r="AD59"/>
    </row>
    <row r="60" spans="1:30">
      <c r="A60" s="152">
        <f>A59+1</f>
        <v>31</v>
      </c>
      <c r="B60" s="154">
        <v>0</v>
      </c>
      <c r="C60" s="160">
        <f>C59+0.001</f>
        <v>-1.9768000000000017</v>
      </c>
      <c r="D60" s="160">
        <f>D59</f>
        <v>5.9</v>
      </c>
      <c r="E60" s="161">
        <f t="shared" si="11"/>
        <v>6.513023255813954E-3</v>
      </c>
      <c r="F60" s="152">
        <f t="shared" si="7"/>
        <v>5.9098170000000003</v>
      </c>
      <c r="G60" s="152">
        <v>50000</v>
      </c>
      <c r="H60" s="152">
        <v>0</v>
      </c>
      <c r="I60" s="159">
        <v>250000</v>
      </c>
      <c r="J60" s="154">
        <v>10</v>
      </c>
      <c r="K60" s="152">
        <f t="shared" si="12"/>
        <v>0.01</v>
      </c>
      <c r="L60" s="153">
        <f t="shared" si="17"/>
        <v>2500000</v>
      </c>
      <c r="M60" s="153">
        <f t="shared" si="13"/>
        <v>1628255.8139534884</v>
      </c>
      <c r="N60" s="169">
        <f t="shared" si="8"/>
        <v>1.5353852745840177</v>
      </c>
      <c r="O60" s="161">
        <f t="shared" si="9"/>
        <v>6.5130232558139536</v>
      </c>
      <c r="Q60" s="40"/>
      <c r="S60" s="39"/>
      <c r="T60" s="27"/>
      <c r="AB60"/>
      <c r="AC60"/>
      <c r="AD60"/>
    </row>
    <row r="61" spans="1:30">
      <c r="A61" s="152">
        <f t="shared" si="19"/>
        <v>32</v>
      </c>
      <c r="B61" s="154">
        <v>0</v>
      </c>
      <c r="C61" s="160">
        <f t="shared" si="20"/>
        <v>-1.9758000000000018</v>
      </c>
      <c r="D61" s="160">
        <f t="shared" si="15"/>
        <v>5.9</v>
      </c>
      <c r="E61" s="161">
        <f t="shared" si="11"/>
        <v>8.1412790697674431E-3</v>
      </c>
      <c r="F61" s="152">
        <f t="shared" si="7"/>
        <v>5.9098170000000003</v>
      </c>
      <c r="G61" s="152">
        <v>50000</v>
      </c>
      <c r="H61" s="152">
        <v>0</v>
      </c>
      <c r="I61" s="159">
        <v>200000</v>
      </c>
      <c r="J61" s="154">
        <v>10</v>
      </c>
      <c r="K61" s="152">
        <f t="shared" si="12"/>
        <v>0.01</v>
      </c>
      <c r="L61" s="153">
        <f t="shared" si="17"/>
        <v>2000000</v>
      </c>
      <c r="M61" s="153">
        <f t="shared" si="13"/>
        <v>1628255.8139534884</v>
      </c>
      <c r="N61" s="169">
        <f t="shared" si="8"/>
        <v>1.2283082196672142</v>
      </c>
      <c r="O61" s="161">
        <f t="shared" si="9"/>
        <v>8.1412790697674424</v>
      </c>
      <c r="S61" s="39"/>
      <c r="T61" s="27"/>
      <c r="AB61"/>
      <c r="AC61"/>
      <c r="AD61"/>
    </row>
    <row r="62" spans="1:30">
      <c r="A62" s="152">
        <f t="shared" si="19"/>
        <v>33</v>
      </c>
      <c r="B62" s="154">
        <v>0</v>
      </c>
      <c r="C62" s="160">
        <f t="shared" si="20"/>
        <v>-1.9748000000000019</v>
      </c>
      <c r="D62" s="160">
        <f t="shared" si="15"/>
        <v>5.9</v>
      </c>
      <c r="E62" s="161">
        <f t="shared" si="11"/>
        <v>1.0855038759689921E-2</v>
      </c>
      <c r="F62" s="152">
        <f t="shared" ref="F62:F95" si="21">IF($B62,$C62,$D62)+$K62-IF($B62,$O$24/1000,$P$24/1000)</f>
        <v>5.9098170000000003</v>
      </c>
      <c r="G62" s="152">
        <v>50000</v>
      </c>
      <c r="H62" s="152">
        <v>0</v>
      </c>
      <c r="I62" s="159">
        <v>150000</v>
      </c>
      <c r="J62" s="154">
        <v>10</v>
      </c>
      <c r="K62" s="152">
        <f t="shared" si="12"/>
        <v>0.01</v>
      </c>
      <c r="L62" s="153">
        <f t="shared" si="17"/>
        <v>1500000</v>
      </c>
      <c r="M62" s="153">
        <f t="shared" si="13"/>
        <v>1628255.8139534884</v>
      </c>
      <c r="N62" s="169">
        <f t="shared" ref="N62:N95" si="22">L62/M62</f>
        <v>0.92123116475041067</v>
      </c>
      <c r="O62" s="161">
        <f t="shared" ref="O62:O95" si="23">J62/N62</f>
        <v>10.855038759689922</v>
      </c>
      <c r="Q62" s="40"/>
      <c r="S62" s="39"/>
      <c r="T62" s="27"/>
      <c r="AB62"/>
      <c r="AC62"/>
      <c r="AD62"/>
    </row>
    <row r="63" spans="1:30">
      <c r="A63" s="152">
        <f>A62+1</f>
        <v>34</v>
      </c>
      <c r="B63" s="154">
        <v>0</v>
      </c>
      <c r="C63" s="160">
        <f t="shared" si="20"/>
        <v>-1.973800000000002</v>
      </c>
      <c r="D63" s="160">
        <f t="shared" si="15"/>
        <v>5.9</v>
      </c>
      <c r="E63" s="161">
        <f t="shared" si="11"/>
        <v>1.6282558139534886E-2</v>
      </c>
      <c r="F63" s="152">
        <f t="shared" si="21"/>
        <v>5.9098170000000003</v>
      </c>
      <c r="G63" s="152">
        <v>50000</v>
      </c>
      <c r="H63" s="152">
        <v>0</v>
      </c>
      <c r="I63" s="159">
        <v>100000</v>
      </c>
      <c r="J63" s="154">
        <v>10</v>
      </c>
      <c r="K63" s="152">
        <f t="shared" si="12"/>
        <v>0.01</v>
      </c>
      <c r="L63" s="153">
        <f t="shared" si="17"/>
        <v>1000000</v>
      </c>
      <c r="M63" s="153">
        <f t="shared" si="13"/>
        <v>1628255.8139534884</v>
      </c>
      <c r="N63" s="169">
        <f t="shared" si="22"/>
        <v>0.61415410983360708</v>
      </c>
      <c r="O63" s="161">
        <f t="shared" si="23"/>
        <v>16.282558139534885</v>
      </c>
      <c r="S63" s="39"/>
      <c r="T63" s="27"/>
      <c r="AB63"/>
      <c r="AC63"/>
      <c r="AD63"/>
    </row>
    <row r="64" spans="1:30">
      <c r="A64" s="152">
        <f t="shared" si="19"/>
        <v>35</v>
      </c>
      <c r="B64" s="154">
        <v>0</v>
      </c>
      <c r="C64" s="160">
        <f t="shared" si="20"/>
        <v>-1.9728000000000021</v>
      </c>
      <c r="D64" s="160">
        <f t="shared" si="15"/>
        <v>5.9</v>
      </c>
      <c r="E64" s="161">
        <f t="shared" si="11"/>
        <v>3.2565116279069772E-2</v>
      </c>
      <c r="F64" s="152">
        <f t="shared" si="21"/>
        <v>5.9098170000000003</v>
      </c>
      <c r="G64" s="152">
        <v>50000</v>
      </c>
      <c r="H64" s="152">
        <v>0</v>
      </c>
      <c r="I64" s="159">
        <v>50000</v>
      </c>
      <c r="J64" s="154">
        <v>10</v>
      </c>
      <c r="K64" s="152">
        <f t="shared" si="12"/>
        <v>0.01</v>
      </c>
      <c r="L64" s="153">
        <f t="shared" si="17"/>
        <v>500000</v>
      </c>
      <c r="M64" s="153">
        <f t="shared" si="13"/>
        <v>1628255.8139534884</v>
      </c>
      <c r="N64" s="169">
        <f t="shared" si="22"/>
        <v>0.30707705491680354</v>
      </c>
      <c r="O64" s="161">
        <f t="shared" si="23"/>
        <v>32.56511627906977</v>
      </c>
      <c r="Q64" s="40"/>
      <c r="S64" s="39"/>
      <c r="T64" s="27"/>
      <c r="AB64"/>
      <c r="AC64"/>
      <c r="AD64"/>
    </row>
    <row r="65" spans="1:30">
      <c r="A65" s="152"/>
      <c r="B65" s="152"/>
      <c r="C65" s="170"/>
      <c r="D65" s="170"/>
      <c r="E65" s="161"/>
      <c r="F65" s="152"/>
      <c r="G65" s="152"/>
      <c r="H65" s="152"/>
      <c r="I65" s="153"/>
      <c r="J65" s="152"/>
      <c r="K65" s="152"/>
      <c r="L65" s="153"/>
      <c r="M65" s="153"/>
      <c r="N65" s="169"/>
      <c r="O65" s="161"/>
      <c r="Q65" s="40"/>
      <c r="S65" s="39"/>
      <c r="T65" s="27"/>
      <c r="AB65"/>
      <c r="AC65"/>
      <c r="AD65"/>
    </row>
    <row r="66" spans="1:30">
      <c r="A66" s="152">
        <f>A64+1</f>
        <v>36</v>
      </c>
      <c r="B66" s="154">
        <v>0</v>
      </c>
      <c r="C66" s="160">
        <f>C64+0.005</f>
        <v>-1.9678000000000022</v>
      </c>
      <c r="D66" s="160">
        <f>D64</f>
        <v>5.9</v>
      </c>
      <c r="E66" s="161">
        <f t="shared" si="11"/>
        <v>4.0706395348837215E-3</v>
      </c>
      <c r="F66" s="152">
        <f t="shared" si="21"/>
        <v>5.9098170000000003</v>
      </c>
      <c r="G66" s="152">
        <v>50000</v>
      </c>
      <c r="H66" s="152">
        <v>0</v>
      </c>
      <c r="I66" s="159">
        <v>400000</v>
      </c>
      <c r="J66" s="154">
        <v>10</v>
      </c>
      <c r="K66" s="152">
        <f t="shared" si="12"/>
        <v>0.01</v>
      </c>
      <c r="L66" s="153">
        <f t="shared" si="17"/>
        <v>4000000</v>
      </c>
      <c r="M66" s="153">
        <f t="shared" si="13"/>
        <v>1628255.8139534884</v>
      </c>
      <c r="N66" s="169">
        <f t="shared" si="22"/>
        <v>2.4566164393344283</v>
      </c>
      <c r="O66" s="161">
        <f t="shared" si="23"/>
        <v>4.0706395348837212</v>
      </c>
      <c r="Q66" s="40"/>
      <c r="S66" s="39"/>
      <c r="T66" s="27"/>
      <c r="AB66"/>
      <c r="AC66"/>
      <c r="AD66"/>
    </row>
    <row r="67" spans="1:30">
      <c r="A67" s="152">
        <f t="shared" si="19"/>
        <v>37</v>
      </c>
      <c r="B67" s="154">
        <v>0</v>
      </c>
      <c r="C67" s="160">
        <f t="shared" si="20"/>
        <v>-1.9668000000000023</v>
      </c>
      <c r="D67" s="160">
        <f t="shared" si="15"/>
        <v>5.9</v>
      </c>
      <c r="E67" s="161">
        <f t="shared" si="11"/>
        <v>4.0706395348837215E-3</v>
      </c>
      <c r="F67" s="152">
        <f t="shared" si="21"/>
        <v>5.9098170000000003</v>
      </c>
      <c r="G67" s="152">
        <v>50000</v>
      </c>
      <c r="H67" s="152">
        <v>0</v>
      </c>
      <c r="I67" s="159">
        <v>400000</v>
      </c>
      <c r="J67" s="154">
        <v>10</v>
      </c>
      <c r="K67" s="152">
        <f t="shared" si="12"/>
        <v>0.01</v>
      </c>
      <c r="L67" s="153">
        <f t="shared" si="17"/>
        <v>4000000</v>
      </c>
      <c r="M67" s="153">
        <f t="shared" si="13"/>
        <v>1628255.8139534884</v>
      </c>
      <c r="N67" s="169">
        <f t="shared" si="22"/>
        <v>2.4566164393344283</v>
      </c>
      <c r="O67" s="161">
        <f t="shared" si="23"/>
        <v>4.0706395348837212</v>
      </c>
      <c r="S67" s="39"/>
      <c r="T67" s="27"/>
      <c r="AB67"/>
      <c r="AC67"/>
      <c r="AD67"/>
    </row>
    <row r="68" spans="1:30">
      <c r="A68" s="152">
        <f t="shared" si="19"/>
        <v>38</v>
      </c>
      <c r="B68" s="154">
        <v>0</v>
      </c>
      <c r="C68" s="160">
        <f t="shared" si="20"/>
        <v>-1.9658000000000024</v>
      </c>
      <c r="D68" s="160">
        <f t="shared" si="15"/>
        <v>5.9</v>
      </c>
      <c r="E68" s="161">
        <f t="shared" si="11"/>
        <v>4.0706395348837215E-3</v>
      </c>
      <c r="F68" s="152">
        <f t="shared" si="21"/>
        <v>5.9098170000000003</v>
      </c>
      <c r="G68" s="152">
        <v>50000</v>
      </c>
      <c r="H68" s="152">
        <v>0</v>
      </c>
      <c r="I68" s="159">
        <v>400000</v>
      </c>
      <c r="J68" s="154">
        <v>10</v>
      </c>
      <c r="K68" s="152">
        <f t="shared" si="12"/>
        <v>0.01</v>
      </c>
      <c r="L68" s="153">
        <f t="shared" si="17"/>
        <v>4000000</v>
      </c>
      <c r="M68" s="153">
        <f t="shared" si="13"/>
        <v>1628255.8139534884</v>
      </c>
      <c r="N68" s="169">
        <f t="shared" si="22"/>
        <v>2.4566164393344283</v>
      </c>
      <c r="O68" s="161">
        <f t="shared" si="23"/>
        <v>4.0706395348837212</v>
      </c>
      <c r="Q68" s="40"/>
      <c r="S68" s="39"/>
      <c r="T68" s="27"/>
      <c r="AB68"/>
      <c r="AC68"/>
      <c r="AD68"/>
    </row>
    <row r="69" spans="1:30">
      <c r="A69" s="152">
        <f>A68+1</f>
        <v>39</v>
      </c>
      <c r="B69" s="154">
        <v>0</v>
      </c>
      <c r="C69" s="160">
        <f t="shared" si="20"/>
        <v>-1.9648000000000025</v>
      </c>
      <c r="D69" s="160">
        <f t="shared" si="15"/>
        <v>5.9</v>
      </c>
      <c r="E69" s="161">
        <f t="shared" si="11"/>
        <v>4.0706395348837215E-3</v>
      </c>
      <c r="F69" s="152">
        <f t="shared" si="21"/>
        <v>5.9098170000000003</v>
      </c>
      <c r="G69" s="152">
        <v>50000</v>
      </c>
      <c r="H69" s="152">
        <v>0</v>
      </c>
      <c r="I69" s="159">
        <v>400000</v>
      </c>
      <c r="J69" s="154">
        <v>10</v>
      </c>
      <c r="K69" s="152">
        <f t="shared" si="12"/>
        <v>0.01</v>
      </c>
      <c r="L69" s="153">
        <f t="shared" si="17"/>
        <v>4000000</v>
      </c>
      <c r="M69" s="153">
        <f t="shared" si="13"/>
        <v>1628255.8139534884</v>
      </c>
      <c r="N69" s="169">
        <f t="shared" si="22"/>
        <v>2.4566164393344283</v>
      </c>
      <c r="O69" s="161">
        <f t="shared" si="23"/>
        <v>4.0706395348837212</v>
      </c>
      <c r="S69" s="39"/>
      <c r="T69" s="27"/>
      <c r="AB69"/>
      <c r="AC69"/>
      <c r="AD69"/>
    </row>
    <row r="70" spans="1:30">
      <c r="A70" s="152">
        <f t="shared" si="19"/>
        <v>40</v>
      </c>
      <c r="B70" s="154">
        <v>0</v>
      </c>
      <c r="C70" s="160">
        <f t="shared" si="20"/>
        <v>-1.9638000000000027</v>
      </c>
      <c r="D70" s="160">
        <f t="shared" si="15"/>
        <v>5.9</v>
      </c>
      <c r="E70" s="161">
        <f t="shared" si="11"/>
        <v>4.0706395348837215E-3</v>
      </c>
      <c r="F70" s="152">
        <f t="shared" si="21"/>
        <v>5.9098170000000003</v>
      </c>
      <c r="G70" s="152">
        <v>50000</v>
      </c>
      <c r="H70" s="152">
        <v>0</v>
      </c>
      <c r="I70" s="159">
        <v>400000</v>
      </c>
      <c r="J70" s="154">
        <v>10</v>
      </c>
      <c r="K70" s="152">
        <f t="shared" si="12"/>
        <v>0.01</v>
      </c>
      <c r="L70" s="153">
        <f t="shared" si="17"/>
        <v>4000000</v>
      </c>
      <c r="M70" s="153">
        <f t="shared" si="13"/>
        <v>1628255.8139534884</v>
      </c>
      <c r="N70" s="169">
        <f t="shared" si="22"/>
        <v>2.4566164393344283</v>
      </c>
      <c r="O70" s="161">
        <f t="shared" si="23"/>
        <v>4.0706395348837212</v>
      </c>
      <c r="Q70" s="40"/>
      <c r="S70" s="39"/>
      <c r="T70" s="27"/>
      <c r="AB70"/>
      <c r="AC70"/>
      <c r="AD70"/>
    </row>
    <row r="71" spans="1:30">
      <c r="A71" s="152">
        <f t="shared" si="19"/>
        <v>41</v>
      </c>
      <c r="B71" s="154">
        <v>0</v>
      </c>
      <c r="C71" s="160">
        <f t="shared" si="20"/>
        <v>-1.9628000000000028</v>
      </c>
      <c r="D71" s="160">
        <f t="shared" si="15"/>
        <v>5.9</v>
      </c>
      <c r="E71" s="161">
        <f t="shared" si="11"/>
        <v>4.0706395348837215E-3</v>
      </c>
      <c r="F71" s="152">
        <f t="shared" si="21"/>
        <v>5.9098170000000003</v>
      </c>
      <c r="G71" s="152">
        <v>50000</v>
      </c>
      <c r="H71" s="152">
        <v>0</v>
      </c>
      <c r="I71" s="159">
        <v>400000</v>
      </c>
      <c r="J71" s="154">
        <v>10</v>
      </c>
      <c r="K71" s="152">
        <f t="shared" si="12"/>
        <v>0.01</v>
      </c>
      <c r="L71" s="153">
        <f t="shared" si="17"/>
        <v>4000000</v>
      </c>
      <c r="M71" s="153">
        <f t="shared" si="13"/>
        <v>1628255.8139534884</v>
      </c>
      <c r="N71" s="169">
        <f t="shared" si="22"/>
        <v>2.4566164393344283</v>
      </c>
      <c r="O71" s="161">
        <f t="shared" si="23"/>
        <v>4.0706395348837212</v>
      </c>
      <c r="Q71" s="40"/>
      <c r="S71" s="39"/>
      <c r="T71" s="27"/>
      <c r="AB71"/>
      <c r="AC71"/>
      <c r="AD71"/>
    </row>
    <row r="72" spans="1:30">
      <c r="A72" s="152">
        <f t="shared" si="19"/>
        <v>42</v>
      </c>
      <c r="B72" s="154">
        <v>0</v>
      </c>
      <c r="C72" s="160">
        <f t="shared" si="20"/>
        <v>-1.9618000000000029</v>
      </c>
      <c r="D72" s="160">
        <f t="shared" si="15"/>
        <v>5.9</v>
      </c>
      <c r="E72" s="161">
        <f t="shared" si="11"/>
        <v>4.0706395348837215E-3</v>
      </c>
      <c r="F72" s="152">
        <f t="shared" si="21"/>
        <v>5.9098170000000003</v>
      </c>
      <c r="G72" s="152">
        <v>50000</v>
      </c>
      <c r="H72" s="152">
        <v>0</v>
      </c>
      <c r="I72" s="159">
        <v>400000</v>
      </c>
      <c r="J72" s="154">
        <v>10</v>
      </c>
      <c r="K72" s="152">
        <f t="shared" si="12"/>
        <v>0.01</v>
      </c>
      <c r="L72" s="153">
        <f t="shared" si="17"/>
        <v>4000000</v>
      </c>
      <c r="M72" s="153">
        <f t="shared" si="13"/>
        <v>1628255.8139534884</v>
      </c>
      <c r="N72" s="169">
        <f t="shared" si="22"/>
        <v>2.4566164393344283</v>
      </c>
      <c r="O72" s="161">
        <f t="shared" si="23"/>
        <v>4.0706395348837212</v>
      </c>
      <c r="S72" s="39"/>
      <c r="T72" s="27"/>
      <c r="AB72"/>
      <c r="AC72"/>
      <c r="AD72"/>
    </row>
    <row r="73" spans="1:30">
      <c r="A73" s="152">
        <f t="shared" si="19"/>
        <v>43</v>
      </c>
      <c r="B73" s="154">
        <v>0</v>
      </c>
      <c r="C73" s="160">
        <f t="shared" si="20"/>
        <v>-1.960800000000003</v>
      </c>
      <c r="D73" s="160">
        <f t="shared" si="15"/>
        <v>5.9</v>
      </c>
      <c r="E73" s="161">
        <f t="shared" si="11"/>
        <v>4.0706395348837215E-3</v>
      </c>
      <c r="F73" s="152">
        <f t="shared" si="21"/>
        <v>5.9098170000000003</v>
      </c>
      <c r="G73" s="152">
        <v>50000</v>
      </c>
      <c r="H73" s="152">
        <v>0</v>
      </c>
      <c r="I73" s="159">
        <v>400000</v>
      </c>
      <c r="J73" s="154">
        <v>10</v>
      </c>
      <c r="K73" s="152">
        <f t="shared" si="12"/>
        <v>0.01</v>
      </c>
      <c r="L73" s="153">
        <f t="shared" si="17"/>
        <v>4000000</v>
      </c>
      <c r="M73" s="153">
        <f t="shared" si="13"/>
        <v>1628255.8139534884</v>
      </c>
      <c r="N73" s="169">
        <f t="shared" si="22"/>
        <v>2.4566164393344283</v>
      </c>
      <c r="O73" s="161">
        <f t="shared" si="23"/>
        <v>4.0706395348837212</v>
      </c>
      <c r="Q73" s="40"/>
      <c r="S73" s="39"/>
      <c r="T73" s="27"/>
      <c r="AB73"/>
      <c r="AC73"/>
      <c r="AD73"/>
    </row>
    <row r="74" spans="1:30">
      <c r="A74" s="152">
        <f>A73+1</f>
        <v>44</v>
      </c>
      <c r="B74" s="154">
        <v>0</v>
      </c>
      <c r="C74" s="160">
        <f t="shared" si="20"/>
        <v>-1.9598000000000031</v>
      </c>
      <c r="D74" s="160">
        <f t="shared" si="15"/>
        <v>5.9</v>
      </c>
      <c r="E74" s="161">
        <f t="shared" si="11"/>
        <v>4.0706395348837215E-3</v>
      </c>
      <c r="F74" s="152">
        <f t="shared" si="21"/>
        <v>5.9098170000000003</v>
      </c>
      <c r="G74" s="152">
        <v>50000</v>
      </c>
      <c r="H74" s="152">
        <v>0</v>
      </c>
      <c r="I74" s="159">
        <v>400000</v>
      </c>
      <c r="J74" s="154">
        <v>10</v>
      </c>
      <c r="K74" s="152">
        <f t="shared" si="12"/>
        <v>0.01</v>
      </c>
      <c r="L74" s="153">
        <f t="shared" si="17"/>
        <v>4000000</v>
      </c>
      <c r="M74" s="153">
        <f t="shared" si="13"/>
        <v>1628255.8139534884</v>
      </c>
      <c r="N74" s="169">
        <f t="shared" si="22"/>
        <v>2.4566164393344283</v>
      </c>
      <c r="O74" s="161">
        <f t="shared" si="23"/>
        <v>4.0706395348837212</v>
      </c>
      <c r="S74" s="39" t="s">
        <v>181</v>
      </c>
      <c r="T74" s="27"/>
      <c r="AB74"/>
      <c r="AC74"/>
      <c r="AD74"/>
    </row>
    <row r="75" spans="1:30">
      <c r="A75" s="152">
        <f t="shared" si="19"/>
        <v>45</v>
      </c>
      <c r="B75" s="154">
        <v>0</v>
      </c>
      <c r="C75" s="160">
        <f t="shared" si="20"/>
        <v>-1.9588000000000032</v>
      </c>
      <c r="D75" s="160">
        <f t="shared" si="15"/>
        <v>5.9</v>
      </c>
      <c r="E75" s="161">
        <f t="shared" si="11"/>
        <v>4.0706395348837215E-3</v>
      </c>
      <c r="F75" s="152">
        <f t="shared" si="21"/>
        <v>5.9098170000000003</v>
      </c>
      <c r="G75" s="152">
        <v>50000</v>
      </c>
      <c r="H75" s="152">
        <v>0</v>
      </c>
      <c r="I75" s="159">
        <v>400000</v>
      </c>
      <c r="J75" s="154">
        <v>10</v>
      </c>
      <c r="K75" s="152">
        <f t="shared" si="12"/>
        <v>0.01</v>
      </c>
      <c r="L75" s="153">
        <f t="shared" si="17"/>
        <v>4000000</v>
      </c>
      <c r="M75" s="153">
        <f t="shared" si="13"/>
        <v>1628255.8139534884</v>
      </c>
      <c r="N75" s="169">
        <f t="shared" si="22"/>
        <v>2.4566164393344283</v>
      </c>
      <c r="O75" s="161">
        <f t="shared" si="23"/>
        <v>4.0706395348837212</v>
      </c>
      <c r="Q75" s="40"/>
      <c r="S75" s="39">
        <f>ABS(C75-C29)</f>
        <v>4.1199999999996795E-2</v>
      </c>
      <c r="T75" s="27"/>
      <c r="AB75"/>
      <c r="AC75"/>
      <c r="AD75"/>
    </row>
    <row r="76" spans="1:30">
      <c r="A76" s="152"/>
      <c r="B76" s="152"/>
      <c r="C76" s="170"/>
      <c r="D76" s="170"/>
      <c r="E76" s="161"/>
      <c r="F76" s="152"/>
      <c r="G76" s="152"/>
      <c r="H76" s="152"/>
      <c r="I76" s="153"/>
      <c r="J76" s="152"/>
      <c r="K76" s="152"/>
      <c r="L76" s="153"/>
      <c r="M76" s="153"/>
      <c r="N76" s="169"/>
      <c r="O76" s="161"/>
      <c r="Q76" s="40"/>
      <c r="S76" s="39"/>
      <c r="T76" s="27"/>
      <c r="AB76"/>
      <c r="AC76"/>
      <c r="AD76"/>
    </row>
    <row r="77" spans="1:30">
      <c r="A77" s="152">
        <f>A75+1</f>
        <v>46</v>
      </c>
      <c r="B77" s="152">
        <v>0</v>
      </c>
      <c r="C77" s="170">
        <f>C75+0.001</f>
        <v>-1.9578000000000033</v>
      </c>
      <c r="D77" s="170">
        <f>D75</f>
        <v>5.9</v>
      </c>
      <c r="E77" s="161" t="e">
        <f t="shared" si="11"/>
        <v>#DIV/0!</v>
      </c>
      <c r="F77" s="152">
        <f t="shared" si="21"/>
        <v>5.8998170000000005</v>
      </c>
      <c r="G77" s="152">
        <v>50000</v>
      </c>
      <c r="H77" s="152">
        <v>0</v>
      </c>
      <c r="I77" s="153">
        <v>400000</v>
      </c>
      <c r="J77" s="152">
        <v>0</v>
      </c>
      <c r="K77" s="152">
        <f t="shared" si="12"/>
        <v>0</v>
      </c>
      <c r="L77" s="153">
        <f t="shared" si="17"/>
        <v>0</v>
      </c>
      <c r="M77" s="153">
        <f t="shared" si="13"/>
        <v>1628255.8139534884</v>
      </c>
      <c r="N77" s="169">
        <f t="shared" si="22"/>
        <v>0</v>
      </c>
      <c r="O77" s="161" t="e">
        <f t="shared" si="23"/>
        <v>#DIV/0!</v>
      </c>
      <c r="Q77" s="40"/>
      <c r="S77" s="39"/>
      <c r="T77" s="27"/>
      <c r="AB77"/>
      <c r="AC77"/>
      <c r="AD77"/>
    </row>
    <row r="78" spans="1:30">
      <c r="A78" s="152">
        <f t="shared" si="19"/>
        <v>47</v>
      </c>
      <c r="B78" s="152">
        <v>0</v>
      </c>
      <c r="C78" s="170">
        <f t="shared" si="20"/>
        <v>-1.9568000000000034</v>
      </c>
      <c r="D78" s="170">
        <f t="shared" si="15"/>
        <v>5.9</v>
      </c>
      <c r="E78" s="161" t="e">
        <f t="shared" si="11"/>
        <v>#DIV/0!</v>
      </c>
      <c r="F78" s="152">
        <f t="shared" si="21"/>
        <v>5.8998170000000005</v>
      </c>
      <c r="G78" s="152">
        <v>50000</v>
      </c>
      <c r="H78" s="152">
        <v>0</v>
      </c>
      <c r="I78" s="153">
        <v>400000</v>
      </c>
      <c r="J78" s="152">
        <v>0</v>
      </c>
      <c r="K78" s="152">
        <f t="shared" si="12"/>
        <v>0</v>
      </c>
      <c r="L78" s="153">
        <f t="shared" si="17"/>
        <v>0</v>
      </c>
      <c r="M78" s="153">
        <f t="shared" si="13"/>
        <v>1628255.8139534884</v>
      </c>
      <c r="N78" s="169">
        <f t="shared" si="22"/>
        <v>0</v>
      </c>
      <c r="O78" s="161" t="e">
        <f t="shared" si="23"/>
        <v>#DIV/0!</v>
      </c>
      <c r="S78" s="39"/>
      <c r="T78" s="27"/>
      <c r="AB78"/>
      <c r="AC78"/>
      <c r="AD78"/>
    </row>
    <row r="79" spans="1:30">
      <c r="A79" s="152">
        <f t="shared" si="19"/>
        <v>48</v>
      </c>
      <c r="B79" s="152">
        <v>0</v>
      </c>
      <c r="C79" s="170">
        <f t="shared" si="20"/>
        <v>-1.9558000000000035</v>
      </c>
      <c r="D79" s="170">
        <f t="shared" si="15"/>
        <v>5.9</v>
      </c>
      <c r="E79" s="161" t="e">
        <f t="shared" si="11"/>
        <v>#DIV/0!</v>
      </c>
      <c r="F79" s="152">
        <f t="shared" si="21"/>
        <v>5.8998170000000005</v>
      </c>
      <c r="G79" s="152">
        <v>50000</v>
      </c>
      <c r="H79" s="152">
        <v>0</v>
      </c>
      <c r="I79" s="153">
        <v>400000</v>
      </c>
      <c r="J79" s="152">
        <v>0</v>
      </c>
      <c r="K79" s="152">
        <f t="shared" si="12"/>
        <v>0</v>
      </c>
      <c r="L79" s="153">
        <f t="shared" si="17"/>
        <v>0</v>
      </c>
      <c r="M79" s="153">
        <f t="shared" si="13"/>
        <v>1628255.8139534884</v>
      </c>
      <c r="N79" s="169">
        <f t="shared" si="22"/>
        <v>0</v>
      </c>
      <c r="O79" s="161" t="e">
        <f t="shared" si="23"/>
        <v>#DIV/0!</v>
      </c>
      <c r="Q79" s="40"/>
      <c r="S79" s="39"/>
      <c r="T79" s="27"/>
      <c r="AB79"/>
      <c r="AC79"/>
      <c r="AD79"/>
    </row>
    <row r="80" spans="1:30">
      <c r="A80" s="152">
        <f>A79+1</f>
        <v>49</v>
      </c>
      <c r="B80" s="152">
        <v>0</v>
      </c>
      <c r="C80" s="170">
        <f t="shared" si="20"/>
        <v>-1.9548000000000036</v>
      </c>
      <c r="D80" s="170">
        <f t="shared" si="15"/>
        <v>5.9</v>
      </c>
      <c r="E80" s="161" t="e">
        <f t="shared" si="11"/>
        <v>#DIV/0!</v>
      </c>
      <c r="F80" s="152">
        <f t="shared" si="21"/>
        <v>5.8998170000000005</v>
      </c>
      <c r="G80" s="152">
        <v>50000</v>
      </c>
      <c r="H80" s="152">
        <v>0</v>
      </c>
      <c r="I80" s="153">
        <v>400000</v>
      </c>
      <c r="J80" s="152">
        <v>0</v>
      </c>
      <c r="K80" s="152">
        <f t="shared" si="12"/>
        <v>0</v>
      </c>
      <c r="L80" s="153">
        <f t="shared" si="17"/>
        <v>0</v>
      </c>
      <c r="M80" s="153">
        <f t="shared" si="13"/>
        <v>1628255.8139534884</v>
      </c>
      <c r="N80" s="169">
        <f t="shared" si="22"/>
        <v>0</v>
      </c>
      <c r="O80" s="161" t="e">
        <f t="shared" si="23"/>
        <v>#DIV/0!</v>
      </c>
      <c r="S80" s="39"/>
      <c r="T80" s="27"/>
      <c r="AB80"/>
      <c r="AC80"/>
      <c r="AD80"/>
    </row>
    <row r="81" spans="1:30">
      <c r="A81" s="152">
        <f t="shared" si="19"/>
        <v>50</v>
      </c>
      <c r="B81" s="152">
        <v>0</v>
      </c>
      <c r="C81" s="170">
        <f t="shared" si="20"/>
        <v>-1.9538000000000038</v>
      </c>
      <c r="D81" s="170">
        <f t="shared" si="15"/>
        <v>5.9</v>
      </c>
      <c r="E81" s="161" t="e">
        <f t="shared" si="11"/>
        <v>#DIV/0!</v>
      </c>
      <c r="F81" s="152">
        <f t="shared" si="21"/>
        <v>5.8998170000000005</v>
      </c>
      <c r="G81" s="152">
        <v>50000</v>
      </c>
      <c r="H81" s="152">
        <v>0</v>
      </c>
      <c r="I81" s="153">
        <v>400000</v>
      </c>
      <c r="J81" s="152">
        <v>0</v>
      </c>
      <c r="K81" s="152">
        <f t="shared" si="12"/>
        <v>0</v>
      </c>
      <c r="L81" s="153">
        <f t="shared" si="17"/>
        <v>0</v>
      </c>
      <c r="M81" s="153">
        <f t="shared" si="13"/>
        <v>1628255.8139534884</v>
      </c>
      <c r="N81" s="169">
        <f t="shared" si="22"/>
        <v>0</v>
      </c>
      <c r="O81" s="161" t="e">
        <f t="shared" si="23"/>
        <v>#DIV/0!</v>
      </c>
      <c r="Q81" s="40"/>
      <c r="S81" s="39"/>
      <c r="T81" s="27"/>
      <c r="AB81"/>
      <c r="AC81"/>
      <c r="AD81"/>
    </row>
    <row r="82" spans="1:30">
      <c r="A82" s="152">
        <f t="shared" si="19"/>
        <v>51</v>
      </c>
      <c r="B82" s="152">
        <v>0</v>
      </c>
      <c r="C82" s="170">
        <f t="shared" si="20"/>
        <v>-1.9528000000000039</v>
      </c>
      <c r="D82" s="170">
        <f t="shared" si="15"/>
        <v>5.9</v>
      </c>
      <c r="E82" s="161" t="e">
        <f t="shared" si="11"/>
        <v>#DIV/0!</v>
      </c>
      <c r="F82" s="152">
        <f t="shared" si="21"/>
        <v>5.8998170000000005</v>
      </c>
      <c r="G82" s="152">
        <v>50000</v>
      </c>
      <c r="H82" s="152">
        <v>0</v>
      </c>
      <c r="I82" s="153">
        <v>400000</v>
      </c>
      <c r="J82" s="152">
        <v>0</v>
      </c>
      <c r="K82" s="152">
        <f t="shared" si="12"/>
        <v>0</v>
      </c>
      <c r="L82" s="153">
        <f t="shared" si="17"/>
        <v>0</v>
      </c>
      <c r="M82" s="153">
        <f t="shared" si="13"/>
        <v>1628255.8139534884</v>
      </c>
      <c r="N82" s="169">
        <f t="shared" si="22"/>
        <v>0</v>
      </c>
      <c r="O82" s="161" t="e">
        <f t="shared" si="23"/>
        <v>#DIV/0!</v>
      </c>
      <c r="Q82" s="40"/>
      <c r="S82" s="39"/>
      <c r="T82" s="27"/>
      <c r="AB82"/>
      <c r="AC82"/>
      <c r="AD82"/>
    </row>
    <row r="83" spans="1:30">
      <c r="A83" s="152">
        <f t="shared" si="19"/>
        <v>52</v>
      </c>
      <c r="B83" s="152">
        <v>0</v>
      </c>
      <c r="C83" s="170">
        <f t="shared" si="20"/>
        <v>-1.951800000000004</v>
      </c>
      <c r="D83" s="170">
        <f t="shared" si="15"/>
        <v>5.9</v>
      </c>
      <c r="E83" s="161" t="e">
        <f t="shared" si="11"/>
        <v>#DIV/0!</v>
      </c>
      <c r="F83" s="152">
        <f t="shared" si="21"/>
        <v>5.8998170000000005</v>
      </c>
      <c r="G83" s="152">
        <v>50000</v>
      </c>
      <c r="H83" s="152">
        <v>0</v>
      </c>
      <c r="I83" s="153">
        <v>400000</v>
      </c>
      <c r="J83" s="152">
        <v>0</v>
      </c>
      <c r="K83" s="152">
        <f t="shared" si="12"/>
        <v>0</v>
      </c>
      <c r="L83" s="153">
        <f t="shared" si="17"/>
        <v>0</v>
      </c>
      <c r="M83" s="153">
        <f t="shared" si="13"/>
        <v>1628255.8139534884</v>
      </c>
      <c r="N83" s="169">
        <f t="shared" si="22"/>
        <v>0</v>
      </c>
      <c r="O83" s="161" t="e">
        <f t="shared" si="23"/>
        <v>#DIV/0!</v>
      </c>
      <c r="S83" s="39"/>
      <c r="T83" s="27"/>
      <c r="AB83"/>
      <c r="AC83"/>
      <c r="AD83"/>
    </row>
    <row r="84" spans="1:30">
      <c r="A84" s="152">
        <f t="shared" si="19"/>
        <v>53</v>
      </c>
      <c r="B84" s="152">
        <v>0</v>
      </c>
      <c r="C84" s="170">
        <f t="shared" si="20"/>
        <v>-1.9508000000000041</v>
      </c>
      <c r="D84" s="170">
        <f t="shared" si="15"/>
        <v>5.9</v>
      </c>
      <c r="E84" s="161" t="e">
        <f t="shared" si="11"/>
        <v>#DIV/0!</v>
      </c>
      <c r="F84" s="152">
        <f t="shared" si="21"/>
        <v>5.8998170000000005</v>
      </c>
      <c r="G84" s="152">
        <v>50000</v>
      </c>
      <c r="H84" s="152">
        <v>0</v>
      </c>
      <c r="I84" s="153">
        <v>400000</v>
      </c>
      <c r="J84" s="152">
        <v>0</v>
      </c>
      <c r="K84" s="152">
        <f t="shared" si="12"/>
        <v>0</v>
      </c>
      <c r="L84" s="153">
        <f t="shared" si="17"/>
        <v>0</v>
      </c>
      <c r="M84" s="153">
        <f t="shared" si="13"/>
        <v>1628255.8139534884</v>
      </c>
      <c r="N84" s="169">
        <f t="shared" si="22"/>
        <v>0</v>
      </c>
      <c r="O84" s="161" t="e">
        <f t="shared" si="23"/>
        <v>#DIV/0!</v>
      </c>
      <c r="Q84" s="40"/>
      <c r="S84" s="39"/>
      <c r="T84" s="27"/>
      <c r="AB84"/>
      <c r="AC84"/>
      <c r="AD84"/>
    </row>
    <row r="85" spans="1:30">
      <c r="A85" s="152">
        <f>A84+1</f>
        <v>54</v>
      </c>
      <c r="B85" s="152">
        <v>0</v>
      </c>
      <c r="C85" s="170">
        <f t="shared" si="20"/>
        <v>-1.9498000000000042</v>
      </c>
      <c r="D85" s="170">
        <f t="shared" si="15"/>
        <v>5.9</v>
      </c>
      <c r="E85" s="161" t="e">
        <f t="shared" si="11"/>
        <v>#DIV/0!</v>
      </c>
      <c r="F85" s="152">
        <f t="shared" si="21"/>
        <v>5.8998170000000005</v>
      </c>
      <c r="G85" s="152">
        <v>50000</v>
      </c>
      <c r="H85" s="152">
        <v>0</v>
      </c>
      <c r="I85" s="153">
        <v>400000</v>
      </c>
      <c r="J85" s="152">
        <v>0</v>
      </c>
      <c r="K85" s="152">
        <f t="shared" si="12"/>
        <v>0</v>
      </c>
      <c r="L85" s="153">
        <f t="shared" si="17"/>
        <v>0</v>
      </c>
      <c r="M85" s="153">
        <f t="shared" si="13"/>
        <v>1628255.8139534884</v>
      </c>
      <c r="N85" s="169">
        <f t="shared" si="22"/>
        <v>0</v>
      </c>
      <c r="O85" s="161" t="e">
        <f t="shared" si="23"/>
        <v>#DIV/0!</v>
      </c>
      <c r="S85" s="39"/>
      <c r="T85" s="27"/>
      <c r="AB85"/>
      <c r="AC85"/>
      <c r="AD85"/>
    </row>
    <row r="86" spans="1:30">
      <c r="A86" s="152">
        <f t="shared" si="19"/>
        <v>55</v>
      </c>
      <c r="B86" s="152">
        <v>0</v>
      </c>
      <c r="C86" s="170">
        <f t="shared" si="20"/>
        <v>-1.9488000000000043</v>
      </c>
      <c r="D86" s="170">
        <f t="shared" si="15"/>
        <v>5.9</v>
      </c>
      <c r="E86" s="161" t="e">
        <f t="shared" si="11"/>
        <v>#DIV/0!</v>
      </c>
      <c r="F86" s="152">
        <f t="shared" si="21"/>
        <v>5.8998170000000005</v>
      </c>
      <c r="G86" s="152">
        <v>50000</v>
      </c>
      <c r="H86" s="152">
        <v>0</v>
      </c>
      <c r="I86" s="153">
        <v>400000</v>
      </c>
      <c r="J86" s="152">
        <v>0</v>
      </c>
      <c r="K86" s="152">
        <f t="shared" si="12"/>
        <v>0</v>
      </c>
      <c r="L86" s="153">
        <f t="shared" si="17"/>
        <v>0</v>
      </c>
      <c r="M86" s="153">
        <f t="shared" si="13"/>
        <v>1628255.8139534884</v>
      </c>
      <c r="N86" s="169">
        <f t="shared" si="22"/>
        <v>0</v>
      </c>
      <c r="O86" s="161" t="e">
        <f t="shared" si="23"/>
        <v>#DIV/0!</v>
      </c>
      <c r="Q86" s="40"/>
      <c r="S86" s="39"/>
      <c r="T86" s="27"/>
      <c r="AB86"/>
      <c r="AC86"/>
      <c r="AD86"/>
    </row>
    <row r="87" spans="1:30">
      <c r="A87" s="152">
        <f t="shared" si="19"/>
        <v>56</v>
      </c>
      <c r="B87" s="152">
        <v>0</v>
      </c>
      <c r="C87" s="170">
        <f t="shared" si="20"/>
        <v>-1.9478000000000044</v>
      </c>
      <c r="D87" s="170">
        <f t="shared" si="15"/>
        <v>5.9</v>
      </c>
      <c r="E87" s="161" t="e">
        <f t="shared" si="11"/>
        <v>#DIV/0!</v>
      </c>
      <c r="F87" s="152">
        <f t="shared" si="21"/>
        <v>5.8998170000000005</v>
      </c>
      <c r="G87" s="152">
        <v>50000</v>
      </c>
      <c r="H87" s="152">
        <v>0</v>
      </c>
      <c r="I87" s="153">
        <v>400000</v>
      </c>
      <c r="J87" s="152">
        <v>0</v>
      </c>
      <c r="K87" s="152">
        <f t="shared" si="12"/>
        <v>0</v>
      </c>
      <c r="L87" s="153">
        <f t="shared" si="17"/>
        <v>0</v>
      </c>
      <c r="M87" s="153">
        <f t="shared" si="13"/>
        <v>1628255.8139534884</v>
      </c>
      <c r="N87" s="169">
        <f t="shared" si="22"/>
        <v>0</v>
      </c>
      <c r="O87" s="161" t="e">
        <f t="shared" si="23"/>
        <v>#DIV/0!</v>
      </c>
      <c r="Q87" s="40"/>
      <c r="S87" s="39"/>
      <c r="T87" s="27"/>
      <c r="AB87"/>
      <c r="AC87"/>
      <c r="AD87"/>
    </row>
    <row r="88" spans="1:30">
      <c r="A88" s="152">
        <f t="shared" si="19"/>
        <v>57</v>
      </c>
      <c r="B88" s="152">
        <v>0</v>
      </c>
      <c r="C88" s="170">
        <f t="shared" si="20"/>
        <v>-1.9468000000000045</v>
      </c>
      <c r="D88" s="170">
        <f t="shared" si="15"/>
        <v>5.9</v>
      </c>
      <c r="E88" s="161" t="e">
        <f t="shared" si="11"/>
        <v>#DIV/0!</v>
      </c>
      <c r="F88" s="152">
        <f t="shared" si="21"/>
        <v>5.8998170000000005</v>
      </c>
      <c r="G88" s="152">
        <v>50000</v>
      </c>
      <c r="H88" s="152">
        <v>0</v>
      </c>
      <c r="I88" s="153">
        <v>400000</v>
      </c>
      <c r="J88" s="152">
        <v>0</v>
      </c>
      <c r="K88" s="152">
        <f t="shared" si="12"/>
        <v>0</v>
      </c>
      <c r="L88" s="153">
        <f t="shared" si="17"/>
        <v>0</v>
      </c>
      <c r="M88" s="153">
        <f t="shared" si="13"/>
        <v>1628255.8139534884</v>
      </c>
      <c r="N88" s="169">
        <f t="shared" si="22"/>
        <v>0</v>
      </c>
      <c r="O88" s="161" t="e">
        <f t="shared" si="23"/>
        <v>#DIV/0!</v>
      </c>
      <c r="S88" s="39"/>
      <c r="T88" s="27"/>
      <c r="AB88"/>
      <c r="AC88"/>
      <c r="AD88"/>
    </row>
    <row r="89" spans="1:30">
      <c r="A89" s="152">
        <f t="shared" si="19"/>
        <v>58</v>
      </c>
      <c r="B89" s="152">
        <v>0</v>
      </c>
      <c r="C89" s="170">
        <f t="shared" si="20"/>
        <v>-1.9458000000000046</v>
      </c>
      <c r="D89" s="170">
        <f t="shared" si="15"/>
        <v>5.9</v>
      </c>
      <c r="E89" s="161" t="e">
        <f t="shared" si="11"/>
        <v>#DIV/0!</v>
      </c>
      <c r="F89" s="152">
        <f t="shared" si="21"/>
        <v>5.8998170000000005</v>
      </c>
      <c r="G89" s="152">
        <v>50000</v>
      </c>
      <c r="H89" s="152">
        <v>0</v>
      </c>
      <c r="I89" s="153">
        <v>400000</v>
      </c>
      <c r="J89" s="152">
        <v>0</v>
      </c>
      <c r="K89" s="152">
        <f t="shared" si="12"/>
        <v>0</v>
      </c>
      <c r="L89" s="153">
        <f t="shared" si="17"/>
        <v>0</v>
      </c>
      <c r="M89" s="153">
        <f t="shared" si="13"/>
        <v>1628255.8139534884</v>
      </c>
      <c r="N89" s="169">
        <f t="shared" si="22"/>
        <v>0</v>
      </c>
      <c r="O89" s="161" t="e">
        <f t="shared" si="23"/>
        <v>#DIV/0!</v>
      </c>
      <c r="Q89" s="40"/>
      <c r="S89" s="39"/>
      <c r="T89" s="27"/>
      <c r="AB89"/>
      <c r="AC89"/>
      <c r="AD89"/>
    </row>
    <row r="90" spans="1:30">
      <c r="A90" s="152">
        <f>A89+1</f>
        <v>59</v>
      </c>
      <c r="B90" s="152">
        <v>0</v>
      </c>
      <c r="C90" s="170">
        <f t="shared" si="20"/>
        <v>-1.9448000000000047</v>
      </c>
      <c r="D90" s="170">
        <f t="shared" si="15"/>
        <v>5.9</v>
      </c>
      <c r="E90" s="161" t="e">
        <f t="shared" si="11"/>
        <v>#DIV/0!</v>
      </c>
      <c r="F90" s="152">
        <f t="shared" si="21"/>
        <v>5.8998170000000005</v>
      </c>
      <c r="G90" s="152">
        <v>50000</v>
      </c>
      <c r="H90" s="152">
        <v>0</v>
      </c>
      <c r="I90" s="153">
        <v>400000</v>
      </c>
      <c r="J90" s="152">
        <v>0</v>
      </c>
      <c r="K90" s="152">
        <f t="shared" si="12"/>
        <v>0</v>
      </c>
      <c r="L90" s="153">
        <f t="shared" si="17"/>
        <v>0</v>
      </c>
      <c r="M90" s="153">
        <f t="shared" si="13"/>
        <v>1628255.8139534884</v>
      </c>
      <c r="N90" s="169">
        <f t="shared" si="22"/>
        <v>0</v>
      </c>
      <c r="O90" s="161" t="e">
        <f t="shared" si="23"/>
        <v>#DIV/0!</v>
      </c>
      <c r="S90" s="39"/>
      <c r="T90" s="27"/>
      <c r="AB90"/>
      <c r="AC90"/>
      <c r="AD90"/>
    </row>
    <row r="91" spans="1:30">
      <c r="A91" s="152">
        <f t="shared" si="19"/>
        <v>60</v>
      </c>
      <c r="B91" s="152">
        <v>0</v>
      </c>
      <c r="C91" s="170">
        <f t="shared" si="20"/>
        <v>-1.9438000000000049</v>
      </c>
      <c r="D91" s="170">
        <f t="shared" si="15"/>
        <v>5.9</v>
      </c>
      <c r="E91" s="161" t="e">
        <f t="shared" si="11"/>
        <v>#DIV/0!</v>
      </c>
      <c r="F91" s="152">
        <f t="shared" si="21"/>
        <v>5.8998170000000005</v>
      </c>
      <c r="G91" s="152">
        <v>50000</v>
      </c>
      <c r="H91" s="152">
        <v>0</v>
      </c>
      <c r="I91" s="153">
        <v>400000</v>
      </c>
      <c r="J91" s="152">
        <v>0</v>
      </c>
      <c r="K91" s="152">
        <f t="shared" si="12"/>
        <v>0</v>
      </c>
      <c r="L91" s="153">
        <f t="shared" si="17"/>
        <v>0</v>
      </c>
      <c r="M91" s="153">
        <f t="shared" si="13"/>
        <v>1628255.8139534884</v>
      </c>
      <c r="N91" s="169">
        <f t="shared" si="22"/>
        <v>0</v>
      </c>
      <c r="O91" s="161" t="e">
        <f t="shared" si="23"/>
        <v>#DIV/0!</v>
      </c>
      <c r="Q91" s="40"/>
      <c r="S91" s="39"/>
      <c r="T91" s="27"/>
      <c r="AB91"/>
      <c r="AC91"/>
      <c r="AD91"/>
    </row>
    <row r="92" spans="1:30">
      <c r="A92" s="152">
        <f t="shared" si="19"/>
        <v>61</v>
      </c>
      <c r="B92" s="152">
        <v>0</v>
      </c>
      <c r="C92" s="170">
        <f t="shared" si="20"/>
        <v>-1.942800000000005</v>
      </c>
      <c r="D92" s="170">
        <f t="shared" si="15"/>
        <v>5.9</v>
      </c>
      <c r="E92" s="161" t="e">
        <f t="shared" si="11"/>
        <v>#DIV/0!</v>
      </c>
      <c r="F92" s="152">
        <f t="shared" si="21"/>
        <v>5.8998170000000005</v>
      </c>
      <c r="G92" s="152">
        <v>50000</v>
      </c>
      <c r="H92" s="152">
        <v>0</v>
      </c>
      <c r="I92" s="153">
        <v>400000</v>
      </c>
      <c r="J92" s="152">
        <v>0</v>
      </c>
      <c r="K92" s="152">
        <f t="shared" si="12"/>
        <v>0</v>
      </c>
      <c r="L92" s="153">
        <f t="shared" si="17"/>
        <v>0</v>
      </c>
      <c r="M92" s="153">
        <f t="shared" si="13"/>
        <v>1628255.8139534884</v>
      </c>
      <c r="N92" s="169">
        <f t="shared" si="22"/>
        <v>0</v>
      </c>
      <c r="O92" s="161" t="e">
        <f t="shared" si="23"/>
        <v>#DIV/0!</v>
      </c>
      <c r="Q92" s="40"/>
      <c r="S92" s="39"/>
      <c r="T92" s="27"/>
      <c r="AB92"/>
      <c r="AC92"/>
      <c r="AD92"/>
    </row>
    <row r="93" spans="1:30">
      <c r="A93" s="152">
        <f t="shared" si="19"/>
        <v>62</v>
      </c>
      <c r="B93" s="152">
        <v>0</v>
      </c>
      <c r="C93" s="170">
        <f t="shared" si="20"/>
        <v>-1.9418000000000051</v>
      </c>
      <c r="D93" s="170">
        <f t="shared" si="15"/>
        <v>5.9</v>
      </c>
      <c r="E93" s="161" t="e">
        <f t="shared" si="11"/>
        <v>#DIV/0!</v>
      </c>
      <c r="F93" s="152">
        <f t="shared" si="21"/>
        <v>5.8998170000000005</v>
      </c>
      <c r="G93" s="152">
        <v>50000</v>
      </c>
      <c r="H93" s="152">
        <v>0</v>
      </c>
      <c r="I93" s="153">
        <v>400000</v>
      </c>
      <c r="J93" s="152">
        <v>0</v>
      </c>
      <c r="K93" s="152">
        <f t="shared" si="12"/>
        <v>0</v>
      </c>
      <c r="L93" s="153">
        <f t="shared" si="17"/>
        <v>0</v>
      </c>
      <c r="M93" s="153">
        <f t="shared" si="13"/>
        <v>1628255.8139534884</v>
      </c>
      <c r="N93" s="169">
        <f t="shared" si="22"/>
        <v>0</v>
      </c>
      <c r="O93" s="161" t="e">
        <f t="shared" si="23"/>
        <v>#DIV/0!</v>
      </c>
      <c r="S93" s="39"/>
      <c r="T93" s="27"/>
      <c r="AB93"/>
      <c r="AC93"/>
      <c r="AD93"/>
    </row>
    <row r="94" spans="1:30">
      <c r="A94" s="152">
        <f t="shared" si="19"/>
        <v>63</v>
      </c>
      <c r="B94" s="152">
        <v>0</v>
      </c>
      <c r="C94" s="170">
        <f t="shared" si="20"/>
        <v>-1.9408000000000052</v>
      </c>
      <c r="D94" s="170">
        <f t="shared" si="15"/>
        <v>5.9</v>
      </c>
      <c r="E94" s="161" t="e">
        <f t="shared" si="11"/>
        <v>#DIV/0!</v>
      </c>
      <c r="F94" s="152">
        <f t="shared" si="21"/>
        <v>5.8998170000000005</v>
      </c>
      <c r="G94" s="152">
        <v>50000</v>
      </c>
      <c r="H94" s="152">
        <v>0</v>
      </c>
      <c r="I94" s="153">
        <v>400000</v>
      </c>
      <c r="J94" s="152">
        <v>0</v>
      </c>
      <c r="K94" s="152">
        <f t="shared" si="12"/>
        <v>0</v>
      </c>
      <c r="L94" s="153">
        <f t="shared" si="17"/>
        <v>0</v>
      </c>
      <c r="M94" s="153">
        <f t="shared" si="13"/>
        <v>1628255.8139534884</v>
      </c>
      <c r="N94" s="169">
        <f t="shared" si="22"/>
        <v>0</v>
      </c>
      <c r="O94" s="161" t="e">
        <f t="shared" si="23"/>
        <v>#DIV/0!</v>
      </c>
      <c r="Q94" s="40"/>
      <c r="S94" s="39"/>
      <c r="T94" s="27"/>
      <c r="AB94"/>
      <c r="AC94"/>
      <c r="AD94"/>
    </row>
    <row r="95" spans="1:30">
      <c r="A95" s="152">
        <f>A94+1</f>
        <v>64</v>
      </c>
      <c r="B95" s="152">
        <v>0</v>
      </c>
      <c r="C95" s="170">
        <f t="shared" si="20"/>
        <v>-1.9398000000000053</v>
      </c>
      <c r="D95" s="170">
        <f t="shared" si="15"/>
        <v>5.9</v>
      </c>
      <c r="E95" s="161" t="e">
        <f t="shared" si="11"/>
        <v>#DIV/0!</v>
      </c>
      <c r="F95" s="152">
        <f t="shared" si="21"/>
        <v>5.8998170000000005</v>
      </c>
      <c r="G95" s="152">
        <v>50000</v>
      </c>
      <c r="H95" s="152">
        <v>0</v>
      </c>
      <c r="I95" s="153">
        <v>400000</v>
      </c>
      <c r="J95" s="152">
        <v>0</v>
      </c>
      <c r="K95" s="152">
        <f t="shared" si="12"/>
        <v>0</v>
      </c>
      <c r="L95" s="153">
        <f t="shared" si="17"/>
        <v>0</v>
      </c>
      <c r="M95" s="153">
        <f t="shared" si="13"/>
        <v>1628255.8139534884</v>
      </c>
      <c r="N95" s="169">
        <f t="shared" si="22"/>
        <v>0</v>
      </c>
      <c r="O95" s="161" t="e">
        <f t="shared" si="23"/>
        <v>#DIV/0!</v>
      </c>
      <c r="S95" s="39"/>
      <c r="T95" s="27"/>
      <c r="AB95"/>
      <c r="AC95"/>
      <c r="AD95"/>
    </row>
    <row r="96" spans="1:30">
      <c r="A96" s="152">
        <f t="shared" si="19"/>
        <v>65</v>
      </c>
      <c r="B96" s="152">
        <v>0</v>
      </c>
      <c r="C96" s="170">
        <f t="shared" si="20"/>
        <v>-1.9388000000000054</v>
      </c>
      <c r="D96" s="170">
        <f t="shared" si="15"/>
        <v>5.9</v>
      </c>
      <c r="E96" s="161" t="e">
        <f t="shared" si="11"/>
        <v>#DIV/0!</v>
      </c>
      <c r="F96" s="152">
        <f t="shared" ref="F96:F131" si="24">IF($B96,$C96,$D96)+$K96-IF($B96,$O$24/1000,$P$24/1000)</f>
        <v>5.8998170000000005</v>
      </c>
      <c r="G96" s="152">
        <v>50000</v>
      </c>
      <c r="H96" s="152">
        <v>0</v>
      </c>
      <c r="I96" s="153">
        <v>400000</v>
      </c>
      <c r="J96" s="152">
        <v>0</v>
      </c>
      <c r="K96" s="152">
        <f t="shared" si="12"/>
        <v>0</v>
      </c>
      <c r="L96" s="153">
        <f t="shared" si="17"/>
        <v>0</v>
      </c>
      <c r="M96" s="153">
        <f t="shared" si="13"/>
        <v>1628255.8139534884</v>
      </c>
      <c r="N96" s="169">
        <f t="shared" ref="N96:N127" si="25">L96/M96</f>
        <v>0</v>
      </c>
      <c r="O96" s="161" t="e">
        <f t="shared" ref="O96:O127" si="26">J96/N96</f>
        <v>#DIV/0!</v>
      </c>
      <c r="Q96" s="40"/>
      <c r="S96" s="39"/>
      <c r="T96" s="27"/>
      <c r="AB96"/>
      <c r="AC96"/>
      <c r="AD96"/>
    </row>
    <row r="97" spans="1:30">
      <c r="A97" s="152">
        <f t="shared" si="19"/>
        <v>66</v>
      </c>
      <c r="B97" s="152">
        <v>0</v>
      </c>
      <c r="C97" s="170">
        <f t="shared" si="20"/>
        <v>-1.9378000000000055</v>
      </c>
      <c r="D97" s="170">
        <f t="shared" si="15"/>
        <v>5.9</v>
      </c>
      <c r="E97" s="161" t="e">
        <f t="shared" ref="E97:E131" si="27">O97/1000</f>
        <v>#DIV/0!</v>
      </c>
      <c r="F97" s="152">
        <f t="shared" si="24"/>
        <v>5.8998170000000005</v>
      </c>
      <c r="G97" s="152">
        <v>50000</v>
      </c>
      <c r="H97" s="152">
        <v>0</v>
      </c>
      <c r="I97" s="153">
        <v>400000</v>
      </c>
      <c r="J97" s="152">
        <v>0</v>
      </c>
      <c r="K97" s="152">
        <f t="shared" ref="K97:K130" si="28">J97/1000</f>
        <v>0</v>
      </c>
      <c r="L97" s="153">
        <f t="shared" si="17"/>
        <v>0</v>
      </c>
      <c r="M97" s="153">
        <f t="shared" ref="M97:M131" si="29">MAX($D$3:$D$15)*2</f>
        <v>1628255.8139534884</v>
      </c>
      <c r="N97" s="169">
        <f t="shared" si="25"/>
        <v>0</v>
      </c>
      <c r="O97" s="161" t="e">
        <f t="shared" si="26"/>
        <v>#DIV/0!</v>
      </c>
      <c r="Q97" s="40"/>
      <c r="S97" s="39"/>
      <c r="T97" s="27"/>
      <c r="AB97"/>
      <c r="AC97"/>
      <c r="AD97"/>
    </row>
    <row r="98" spans="1:30">
      <c r="A98" s="152">
        <f t="shared" si="19"/>
        <v>67</v>
      </c>
      <c r="B98" s="152">
        <v>0</v>
      </c>
      <c r="C98" s="170">
        <f t="shared" si="20"/>
        <v>-1.9368000000000056</v>
      </c>
      <c r="D98" s="170">
        <f t="shared" ref="D98:D131" si="30">D97</f>
        <v>5.9</v>
      </c>
      <c r="E98" s="161" t="e">
        <f t="shared" si="27"/>
        <v>#DIV/0!</v>
      </c>
      <c r="F98" s="152">
        <f t="shared" si="24"/>
        <v>5.8998170000000005</v>
      </c>
      <c r="G98" s="152">
        <v>50000</v>
      </c>
      <c r="H98" s="152">
        <v>0</v>
      </c>
      <c r="I98" s="153">
        <v>400000</v>
      </c>
      <c r="J98" s="152">
        <v>0</v>
      </c>
      <c r="K98" s="152">
        <f t="shared" si="28"/>
        <v>0</v>
      </c>
      <c r="L98" s="153">
        <f t="shared" si="17"/>
        <v>0</v>
      </c>
      <c r="M98" s="153">
        <f t="shared" si="29"/>
        <v>1628255.8139534884</v>
      </c>
      <c r="N98" s="169">
        <f t="shared" si="25"/>
        <v>0</v>
      </c>
      <c r="O98" s="161" t="e">
        <f t="shared" si="26"/>
        <v>#DIV/0!</v>
      </c>
      <c r="S98" s="39"/>
      <c r="T98" s="27"/>
      <c r="AB98"/>
      <c r="AC98"/>
      <c r="AD98"/>
    </row>
    <row r="99" spans="1:30">
      <c r="A99" s="152">
        <f t="shared" si="19"/>
        <v>68</v>
      </c>
      <c r="B99" s="152">
        <v>0</v>
      </c>
      <c r="C99" s="170">
        <f t="shared" ref="C99:C122" si="31">C98+0.001</f>
        <v>-1.9358000000000057</v>
      </c>
      <c r="D99" s="170">
        <f t="shared" si="30"/>
        <v>5.9</v>
      </c>
      <c r="E99" s="161" t="e">
        <f t="shared" si="27"/>
        <v>#DIV/0!</v>
      </c>
      <c r="F99" s="152">
        <f t="shared" si="24"/>
        <v>5.8998170000000005</v>
      </c>
      <c r="G99" s="152">
        <v>50000</v>
      </c>
      <c r="H99" s="152">
        <v>0</v>
      </c>
      <c r="I99" s="153">
        <v>400000</v>
      </c>
      <c r="J99" s="152">
        <v>0</v>
      </c>
      <c r="K99" s="152">
        <f t="shared" si="28"/>
        <v>0</v>
      </c>
      <c r="L99" s="153">
        <f t="shared" ref="L99:L130" si="32">I99*J99</f>
        <v>0</v>
      </c>
      <c r="M99" s="153">
        <f t="shared" si="29"/>
        <v>1628255.8139534884</v>
      </c>
      <c r="N99" s="169">
        <f t="shared" si="25"/>
        <v>0</v>
      </c>
      <c r="O99" s="161" t="e">
        <f t="shared" si="26"/>
        <v>#DIV/0!</v>
      </c>
      <c r="Q99" s="40"/>
      <c r="S99" s="39"/>
      <c r="T99" s="27"/>
      <c r="AB99"/>
      <c r="AC99"/>
      <c r="AD99"/>
    </row>
    <row r="100" spans="1:30">
      <c r="A100" s="152">
        <f>A99+1</f>
        <v>69</v>
      </c>
      <c r="B100" s="152">
        <v>0</v>
      </c>
      <c r="C100" s="170">
        <f t="shared" si="31"/>
        <v>-1.9348000000000058</v>
      </c>
      <c r="D100" s="170">
        <f t="shared" si="30"/>
        <v>5.9</v>
      </c>
      <c r="E100" s="161" t="e">
        <f t="shared" si="27"/>
        <v>#DIV/0!</v>
      </c>
      <c r="F100" s="152">
        <f t="shared" si="24"/>
        <v>5.8998170000000005</v>
      </c>
      <c r="G100" s="152">
        <v>50000</v>
      </c>
      <c r="H100" s="152">
        <v>0</v>
      </c>
      <c r="I100" s="153">
        <v>400000</v>
      </c>
      <c r="J100" s="152">
        <v>0</v>
      </c>
      <c r="K100" s="152">
        <f t="shared" si="28"/>
        <v>0</v>
      </c>
      <c r="L100" s="153">
        <f t="shared" si="32"/>
        <v>0</v>
      </c>
      <c r="M100" s="153">
        <f t="shared" si="29"/>
        <v>1628255.8139534884</v>
      </c>
      <c r="N100" s="169">
        <f t="shared" si="25"/>
        <v>0</v>
      </c>
      <c r="O100" s="161" t="e">
        <f t="shared" si="26"/>
        <v>#DIV/0!</v>
      </c>
      <c r="S100" s="39"/>
      <c r="T100" s="27"/>
      <c r="AB100"/>
      <c r="AC100"/>
      <c r="AD100"/>
    </row>
    <row r="101" spans="1:30">
      <c r="A101" s="152">
        <f t="shared" si="19"/>
        <v>70</v>
      </c>
      <c r="B101" s="152">
        <v>0</v>
      </c>
      <c r="C101" s="170">
        <f t="shared" si="31"/>
        <v>-1.933800000000006</v>
      </c>
      <c r="D101" s="170">
        <f t="shared" si="30"/>
        <v>5.9</v>
      </c>
      <c r="E101" s="161" t="e">
        <f t="shared" si="27"/>
        <v>#DIV/0!</v>
      </c>
      <c r="F101" s="152">
        <f t="shared" si="24"/>
        <v>5.8998170000000005</v>
      </c>
      <c r="G101" s="152">
        <v>50000</v>
      </c>
      <c r="H101" s="152">
        <v>0</v>
      </c>
      <c r="I101" s="153">
        <v>400000</v>
      </c>
      <c r="J101" s="152">
        <v>0</v>
      </c>
      <c r="K101" s="152">
        <f t="shared" si="28"/>
        <v>0</v>
      </c>
      <c r="L101" s="153">
        <f t="shared" si="32"/>
        <v>0</v>
      </c>
      <c r="M101" s="153">
        <f t="shared" si="29"/>
        <v>1628255.8139534884</v>
      </c>
      <c r="N101" s="169">
        <f t="shared" si="25"/>
        <v>0</v>
      </c>
      <c r="O101" s="161" t="e">
        <f t="shared" si="26"/>
        <v>#DIV/0!</v>
      </c>
      <c r="Q101" s="40"/>
      <c r="S101" s="39"/>
      <c r="T101" s="27"/>
      <c r="AB101"/>
      <c r="AC101"/>
      <c r="AD101"/>
    </row>
    <row r="102" spans="1:30">
      <c r="A102" s="152">
        <f t="shared" si="19"/>
        <v>71</v>
      </c>
      <c r="B102" s="152">
        <v>0</v>
      </c>
      <c r="C102" s="170">
        <f t="shared" si="31"/>
        <v>-1.9328000000000061</v>
      </c>
      <c r="D102" s="170">
        <f t="shared" si="30"/>
        <v>5.9</v>
      </c>
      <c r="E102" s="161" t="e">
        <f t="shared" si="27"/>
        <v>#DIV/0!</v>
      </c>
      <c r="F102" s="152">
        <f t="shared" si="24"/>
        <v>5.8998170000000005</v>
      </c>
      <c r="G102" s="152">
        <v>50000</v>
      </c>
      <c r="H102" s="152">
        <v>0</v>
      </c>
      <c r="I102" s="153">
        <v>400000</v>
      </c>
      <c r="J102" s="152">
        <v>0</v>
      </c>
      <c r="K102" s="152">
        <f t="shared" si="28"/>
        <v>0</v>
      </c>
      <c r="L102" s="153">
        <f t="shared" si="32"/>
        <v>0</v>
      </c>
      <c r="M102" s="153">
        <f t="shared" si="29"/>
        <v>1628255.8139534884</v>
      </c>
      <c r="N102" s="169">
        <f t="shared" si="25"/>
        <v>0</v>
      </c>
      <c r="O102" s="161" t="e">
        <f t="shared" si="26"/>
        <v>#DIV/0!</v>
      </c>
      <c r="Q102" s="40"/>
      <c r="S102" s="39"/>
      <c r="T102" s="27"/>
      <c r="AB102"/>
      <c r="AC102"/>
      <c r="AD102"/>
    </row>
    <row r="103" spans="1:30">
      <c r="A103" s="152">
        <f t="shared" si="19"/>
        <v>72</v>
      </c>
      <c r="B103" s="152">
        <v>0</v>
      </c>
      <c r="C103" s="170">
        <f t="shared" si="31"/>
        <v>-1.9318000000000062</v>
      </c>
      <c r="D103" s="170">
        <f t="shared" si="30"/>
        <v>5.9</v>
      </c>
      <c r="E103" s="161" t="e">
        <f t="shared" si="27"/>
        <v>#DIV/0!</v>
      </c>
      <c r="F103" s="152">
        <f t="shared" si="24"/>
        <v>5.8998170000000005</v>
      </c>
      <c r="G103" s="152">
        <v>50000</v>
      </c>
      <c r="H103" s="152">
        <v>0</v>
      </c>
      <c r="I103" s="153">
        <v>400000</v>
      </c>
      <c r="J103" s="152">
        <v>0</v>
      </c>
      <c r="K103" s="152">
        <f t="shared" si="28"/>
        <v>0</v>
      </c>
      <c r="L103" s="153">
        <f t="shared" si="32"/>
        <v>0</v>
      </c>
      <c r="M103" s="153">
        <f t="shared" si="29"/>
        <v>1628255.8139534884</v>
      </c>
      <c r="N103" s="169">
        <f t="shared" si="25"/>
        <v>0</v>
      </c>
      <c r="O103" s="161" t="e">
        <f t="shared" si="26"/>
        <v>#DIV/0!</v>
      </c>
      <c r="S103" s="39"/>
      <c r="T103" s="27"/>
      <c r="AB103"/>
      <c r="AC103"/>
      <c r="AD103"/>
    </row>
    <row r="104" spans="1:30">
      <c r="A104" s="152">
        <f t="shared" si="19"/>
        <v>73</v>
      </c>
      <c r="B104" s="152">
        <v>0</v>
      </c>
      <c r="C104" s="170">
        <f t="shared" si="31"/>
        <v>-1.9308000000000063</v>
      </c>
      <c r="D104" s="170">
        <f t="shared" si="30"/>
        <v>5.9</v>
      </c>
      <c r="E104" s="161" t="e">
        <f t="shared" si="27"/>
        <v>#DIV/0!</v>
      </c>
      <c r="F104" s="152">
        <f t="shared" si="24"/>
        <v>5.8998170000000005</v>
      </c>
      <c r="G104" s="152">
        <v>50000</v>
      </c>
      <c r="H104" s="152">
        <v>0</v>
      </c>
      <c r="I104" s="153">
        <v>400000</v>
      </c>
      <c r="J104" s="152">
        <v>0</v>
      </c>
      <c r="K104" s="152">
        <f t="shared" si="28"/>
        <v>0</v>
      </c>
      <c r="L104" s="153">
        <f t="shared" si="32"/>
        <v>0</v>
      </c>
      <c r="M104" s="153">
        <f t="shared" si="29"/>
        <v>1628255.8139534884</v>
      </c>
      <c r="N104" s="169">
        <f t="shared" si="25"/>
        <v>0</v>
      </c>
      <c r="O104" s="161" t="e">
        <f t="shared" si="26"/>
        <v>#DIV/0!</v>
      </c>
      <c r="Q104" s="40"/>
      <c r="S104" s="39"/>
      <c r="T104" s="27"/>
      <c r="AB104"/>
      <c r="AC104"/>
      <c r="AD104"/>
    </row>
    <row r="105" spans="1:30">
      <c r="A105" s="152">
        <f>A104+1</f>
        <v>74</v>
      </c>
      <c r="B105" s="152">
        <v>0</v>
      </c>
      <c r="C105" s="170">
        <f t="shared" si="31"/>
        <v>-1.9298000000000064</v>
      </c>
      <c r="D105" s="170">
        <f t="shared" si="30"/>
        <v>5.9</v>
      </c>
      <c r="E105" s="161" t="e">
        <f t="shared" si="27"/>
        <v>#DIV/0!</v>
      </c>
      <c r="F105" s="152">
        <f t="shared" si="24"/>
        <v>5.8998170000000005</v>
      </c>
      <c r="G105" s="152">
        <v>50000</v>
      </c>
      <c r="H105" s="152">
        <v>0</v>
      </c>
      <c r="I105" s="153">
        <v>400000</v>
      </c>
      <c r="J105" s="152">
        <v>0</v>
      </c>
      <c r="K105" s="152">
        <f t="shared" si="28"/>
        <v>0</v>
      </c>
      <c r="L105" s="153">
        <f t="shared" si="32"/>
        <v>0</v>
      </c>
      <c r="M105" s="153">
        <f t="shared" si="29"/>
        <v>1628255.8139534884</v>
      </c>
      <c r="N105" s="169">
        <f t="shared" si="25"/>
        <v>0</v>
      </c>
      <c r="O105" s="161" t="e">
        <f t="shared" si="26"/>
        <v>#DIV/0!</v>
      </c>
      <c r="S105" s="39"/>
      <c r="T105" s="27"/>
      <c r="AB105"/>
      <c r="AC105"/>
      <c r="AD105"/>
    </row>
    <row r="106" spans="1:30">
      <c r="A106" s="152">
        <f t="shared" ref="A106:A119" si="33">A105+1</f>
        <v>75</v>
      </c>
      <c r="B106" s="152">
        <v>0</v>
      </c>
      <c r="C106" s="170">
        <f t="shared" si="31"/>
        <v>-1.9288000000000065</v>
      </c>
      <c r="D106" s="170">
        <f t="shared" si="30"/>
        <v>5.9</v>
      </c>
      <c r="E106" s="161" t="e">
        <f t="shared" si="27"/>
        <v>#DIV/0!</v>
      </c>
      <c r="F106" s="152">
        <f t="shared" si="24"/>
        <v>5.8998170000000005</v>
      </c>
      <c r="G106" s="152">
        <v>50000</v>
      </c>
      <c r="H106" s="152">
        <v>0</v>
      </c>
      <c r="I106" s="153">
        <v>400000</v>
      </c>
      <c r="J106" s="152">
        <v>0</v>
      </c>
      <c r="K106" s="152">
        <f t="shared" si="28"/>
        <v>0</v>
      </c>
      <c r="L106" s="153">
        <f t="shared" si="32"/>
        <v>0</v>
      </c>
      <c r="M106" s="153">
        <f t="shared" si="29"/>
        <v>1628255.8139534884</v>
      </c>
      <c r="N106" s="169">
        <f t="shared" si="25"/>
        <v>0</v>
      </c>
      <c r="O106" s="161" t="e">
        <f t="shared" si="26"/>
        <v>#DIV/0!</v>
      </c>
      <c r="Q106" s="40"/>
      <c r="S106" s="39"/>
      <c r="T106" s="27"/>
      <c r="AB106"/>
      <c r="AC106"/>
      <c r="AD106"/>
    </row>
    <row r="107" spans="1:30">
      <c r="A107" s="152">
        <f t="shared" si="33"/>
        <v>76</v>
      </c>
      <c r="B107" s="152">
        <v>0</v>
      </c>
      <c r="C107" s="170">
        <f t="shared" si="31"/>
        <v>-1.9278000000000066</v>
      </c>
      <c r="D107" s="170">
        <f t="shared" si="30"/>
        <v>5.9</v>
      </c>
      <c r="E107" s="161" t="e">
        <f t="shared" si="27"/>
        <v>#DIV/0!</v>
      </c>
      <c r="F107" s="152">
        <f t="shared" si="24"/>
        <v>5.8998170000000005</v>
      </c>
      <c r="G107" s="152">
        <v>50000</v>
      </c>
      <c r="H107" s="152">
        <v>0</v>
      </c>
      <c r="I107" s="153">
        <v>400000</v>
      </c>
      <c r="J107" s="152">
        <v>0</v>
      </c>
      <c r="K107" s="152">
        <f t="shared" si="28"/>
        <v>0</v>
      </c>
      <c r="L107" s="153">
        <f t="shared" si="32"/>
        <v>0</v>
      </c>
      <c r="M107" s="153">
        <f t="shared" si="29"/>
        <v>1628255.8139534884</v>
      </c>
      <c r="N107" s="169">
        <f t="shared" si="25"/>
        <v>0</v>
      </c>
      <c r="O107" s="161" t="e">
        <f t="shared" si="26"/>
        <v>#DIV/0!</v>
      </c>
      <c r="Q107" s="40"/>
      <c r="S107" s="39"/>
      <c r="T107" s="27"/>
      <c r="AB107"/>
      <c r="AC107"/>
      <c r="AD107"/>
    </row>
    <row r="108" spans="1:30">
      <c r="A108" s="152">
        <f t="shared" si="33"/>
        <v>77</v>
      </c>
      <c r="B108" s="152">
        <v>0</v>
      </c>
      <c r="C108" s="170">
        <f t="shared" si="31"/>
        <v>-1.9268000000000067</v>
      </c>
      <c r="D108" s="170">
        <f t="shared" si="30"/>
        <v>5.9</v>
      </c>
      <c r="E108" s="161" t="e">
        <f t="shared" si="27"/>
        <v>#DIV/0!</v>
      </c>
      <c r="F108" s="152">
        <f t="shared" si="24"/>
        <v>5.8998170000000005</v>
      </c>
      <c r="G108" s="152">
        <v>50000</v>
      </c>
      <c r="H108" s="152">
        <v>0</v>
      </c>
      <c r="I108" s="153">
        <v>400000</v>
      </c>
      <c r="J108" s="152">
        <v>0</v>
      </c>
      <c r="K108" s="152">
        <f t="shared" si="28"/>
        <v>0</v>
      </c>
      <c r="L108" s="153">
        <f t="shared" si="32"/>
        <v>0</v>
      </c>
      <c r="M108" s="153">
        <f t="shared" si="29"/>
        <v>1628255.8139534884</v>
      </c>
      <c r="N108" s="169">
        <f t="shared" si="25"/>
        <v>0</v>
      </c>
      <c r="O108" s="161" t="e">
        <f t="shared" si="26"/>
        <v>#DIV/0!</v>
      </c>
      <c r="S108" s="39"/>
      <c r="T108" s="27"/>
      <c r="AB108"/>
      <c r="AC108"/>
      <c r="AD108"/>
    </row>
    <row r="109" spans="1:30">
      <c r="A109" s="152">
        <f t="shared" si="33"/>
        <v>78</v>
      </c>
      <c r="B109" s="152">
        <v>0</v>
      </c>
      <c r="C109" s="170">
        <f t="shared" si="31"/>
        <v>-1.9258000000000068</v>
      </c>
      <c r="D109" s="170">
        <f t="shared" si="30"/>
        <v>5.9</v>
      </c>
      <c r="E109" s="161" t="e">
        <f t="shared" si="27"/>
        <v>#DIV/0!</v>
      </c>
      <c r="F109" s="152">
        <f t="shared" si="24"/>
        <v>5.8998170000000005</v>
      </c>
      <c r="G109" s="152">
        <v>50000</v>
      </c>
      <c r="H109" s="152">
        <v>0</v>
      </c>
      <c r="I109" s="153">
        <v>400000</v>
      </c>
      <c r="J109" s="152">
        <v>0</v>
      </c>
      <c r="K109" s="152">
        <f t="shared" si="28"/>
        <v>0</v>
      </c>
      <c r="L109" s="153">
        <f t="shared" si="32"/>
        <v>0</v>
      </c>
      <c r="M109" s="153">
        <f t="shared" si="29"/>
        <v>1628255.8139534884</v>
      </c>
      <c r="N109" s="169">
        <f t="shared" si="25"/>
        <v>0</v>
      </c>
      <c r="O109" s="161" t="e">
        <f t="shared" si="26"/>
        <v>#DIV/0!</v>
      </c>
      <c r="Q109" s="40"/>
      <c r="S109" s="39"/>
      <c r="T109" s="27"/>
      <c r="AB109"/>
      <c r="AC109"/>
      <c r="AD109"/>
    </row>
    <row r="110" spans="1:30">
      <c r="A110" s="152">
        <f>A109+1</f>
        <v>79</v>
      </c>
      <c r="B110" s="152">
        <v>0</v>
      </c>
      <c r="C110" s="170">
        <f t="shared" si="31"/>
        <v>-1.9248000000000069</v>
      </c>
      <c r="D110" s="170">
        <f t="shared" si="30"/>
        <v>5.9</v>
      </c>
      <c r="E110" s="161" t="e">
        <f t="shared" si="27"/>
        <v>#DIV/0!</v>
      </c>
      <c r="F110" s="152">
        <f t="shared" si="24"/>
        <v>5.8998170000000005</v>
      </c>
      <c r="G110" s="152">
        <v>50000</v>
      </c>
      <c r="H110" s="152">
        <v>0</v>
      </c>
      <c r="I110" s="153">
        <v>400000</v>
      </c>
      <c r="J110" s="152">
        <v>0</v>
      </c>
      <c r="K110" s="152">
        <f t="shared" si="28"/>
        <v>0</v>
      </c>
      <c r="L110" s="153">
        <f t="shared" si="32"/>
        <v>0</v>
      </c>
      <c r="M110" s="153">
        <f t="shared" si="29"/>
        <v>1628255.8139534884</v>
      </c>
      <c r="N110" s="169">
        <f t="shared" si="25"/>
        <v>0</v>
      </c>
      <c r="O110" s="161" t="e">
        <f t="shared" si="26"/>
        <v>#DIV/0!</v>
      </c>
      <c r="S110" s="39"/>
      <c r="T110" s="27"/>
      <c r="AB110"/>
      <c r="AC110"/>
      <c r="AD110"/>
    </row>
    <row r="111" spans="1:30">
      <c r="A111" s="152">
        <f t="shared" si="33"/>
        <v>80</v>
      </c>
      <c r="B111" s="152">
        <v>0</v>
      </c>
      <c r="C111" s="170">
        <f t="shared" si="31"/>
        <v>-1.9238000000000071</v>
      </c>
      <c r="D111" s="170">
        <f t="shared" si="30"/>
        <v>5.9</v>
      </c>
      <c r="E111" s="161" t="e">
        <f t="shared" si="27"/>
        <v>#DIV/0!</v>
      </c>
      <c r="F111" s="152">
        <f t="shared" si="24"/>
        <v>5.8998170000000005</v>
      </c>
      <c r="G111" s="152">
        <v>50000</v>
      </c>
      <c r="H111" s="152">
        <v>0</v>
      </c>
      <c r="I111" s="153">
        <v>400000</v>
      </c>
      <c r="J111" s="152">
        <v>0</v>
      </c>
      <c r="K111" s="152">
        <f t="shared" si="28"/>
        <v>0</v>
      </c>
      <c r="L111" s="153">
        <f t="shared" si="32"/>
        <v>0</v>
      </c>
      <c r="M111" s="153">
        <f t="shared" si="29"/>
        <v>1628255.8139534884</v>
      </c>
      <c r="N111" s="169">
        <f t="shared" si="25"/>
        <v>0</v>
      </c>
      <c r="O111" s="161" t="e">
        <f t="shared" si="26"/>
        <v>#DIV/0!</v>
      </c>
      <c r="Q111" s="40"/>
      <c r="S111" s="39"/>
      <c r="T111" s="27"/>
      <c r="AB111"/>
      <c r="AC111"/>
      <c r="AD111"/>
    </row>
    <row r="112" spans="1:30">
      <c r="A112" s="152">
        <f t="shared" si="33"/>
        <v>81</v>
      </c>
      <c r="B112" s="152">
        <v>0</v>
      </c>
      <c r="C112" s="170">
        <f t="shared" si="31"/>
        <v>-1.9228000000000072</v>
      </c>
      <c r="D112" s="170">
        <f t="shared" si="30"/>
        <v>5.9</v>
      </c>
      <c r="E112" s="161" t="e">
        <f t="shared" si="27"/>
        <v>#DIV/0!</v>
      </c>
      <c r="F112" s="152">
        <f t="shared" si="24"/>
        <v>5.8998170000000005</v>
      </c>
      <c r="G112" s="152">
        <v>50000</v>
      </c>
      <c r="H112" s="152">
        <v>0</v>
      </c>
      <c r="I112" s="153">
        <v>400000</v>
      </c>
      <c r="J112" s="152">
        <v>0</v>
      </c>
      <c r="K112" s="152">
        <f t="shared" si="28"/>
        <v>0</v>
      </c>
      <c r="L112" s="153">
        <f t="shared" si="32"/>
        <v>0</v>
      </c>
      <c r="M112" s="153">
        <f t="shared" si="29"/>
        <v>1628255.8139534884</v>
      </c>
      <c r="N112" s="169">
        <f t="shared" si="25"/>
        <v>0</v>
      </c>
      <c r="O112" s="161" t="e">
        <f t="shared" si="26"/>
        <v>#DIV/0!</v>
      </c>
      <c r="Q112" s="40"/>
      <c r="S112" s="39"/>
      <c r="T112" s="27"/>
      <c r="AB112"/>
      <c r="AC112"/>
      <c r="AD112"/>
    </row>
    <row r="113" spans="1:30">
      <c r="A113" s="152">
        <f t="shared" si="33"/>
        <v>82</v>
      </c>
      <c r="B113" s="152">
        <v>0</v>
      </c>
      <c r="C113" s="170">
        <f t="shared" si="31"/>
        <v>-1.9218000000000073</v>
      </c>
      <c r="D113" s="170">
        <f t="shared" si="30"/>
        <v>5.9</v>
      </c>
      <c r="E113" s="161" t="e">
        <f t="shared" si="27"/>
        <v>#DIV/0!</v>
      </c>
      <c r="F113" s="152">
        <f t="shared" si="24"/>
        <v>5.8998170000000005</v>
      </c>
      <c r="G113" s="152">
        <v>50000</v>
      </c>
      <c r="H113" s="152">
        <v>0</v>
      </c>
      <c r="I113" s="153">
        <v>400000</v>
      </c>
      <c r="J113" s="152">
        <v>0</v>
      </c>
      <c r="K113" s="152">
        <f t="shared" si="28"/>
        <v>0</v>
      </c>
      <c r="L113" s="153">
        <f t="shared" si="32"/>
        <v>0</v>
      </c>
      <c r="M113" s="153">
        <f t="shared" si="29"/>
        <v>1628255.8139534884</v>
      </c>
      <c r="N113" s="169">
        <f t="shared" si="25"/>
        <v>0</v>
      </c>
      <c r="O113" s="161" t="e">
        <f t="shared" si="26"/>
        <v>#DIV/0!</v>
      </c>
      <c r="S113" s="39"/>
      <c r="T113" s="27"/>
      <c r="AB113"/>
      <c r="AC113"/>
      <c r="AD113"/>
    </row>
    <row r="114" spans="1:30">
      <c r="A114" s="152">
        <f t="shared" si="33"/>
        <v>83</v>
      </c>
      <c r="B114" s="152">
        <v>0</v>
      </c>
      <c r="C114" s="170">
        <f t="shared" si="31"/>
        <v>-1.9208000000000074</v>
      </c>
      <c r="D114" s="170">
        <f t="shared" si="30"/>
        <v>5.9</v>
      </c>
      <c r="E114" s="161" t="e">
        <f t="shared" si="27"/>
        <v>#DIV/0!</v>
      </c>
      <c r="F114" s="152">
        <f t="shared" si="24"/>
        <v>5.8998170000000005</v>
      </c>
      <c r="G114" s="152">
        <v>50000</v>
      </c>
      <c r="H114" s="152">
        <v>0</v>
      </c>
      <c r="I114" s="153">
        <v>400000</v>
      </c>
      <c r="J114" s="152">
        <v>0</v>
      </c>
      <c r="K114" s="152">
        <f t="shared" si="28"/>
        <v>0</v>
      </c>
      <c r="L114" s="153">
        <f t="shared" si="32"/>
        <v>0</v>
      </c>
      <c r="M114" s="153">
        <f t="shared" si="29"/>
        <v>1628255.8139534884</v>
      </c>
      <c r="N114" s="169">
        <f t="shared" si="25"/>
        <v>0</v>
      </c>
      <c r="O114" s="161" t="e">
        <f t="shared" si="26"/>
        <v>#DIV/0!</v>
      </c>
      <c r="Q114" s="40"/>
      <c r="S114" s="39"/>
      <c r="T114" s="27"/>
      <c r="AB114"/>
      <c r="AC114"/>
      <c r="AD114"/>
    </row>
    <row r="115" spans="1:30">
      <c r="A115" s="152">
        <f>A114+1</f>
        <v>84</v>
      </c>
      <c r="B115" s="152">
        <v>0</v>
      </c>
      <c r="C115" s="170">
        <f t="shared" si="31"/>
        <v>-1.9198000000000075</v>
      </c>
      <c r="D115" s="170">
        <f t="shared" si="30"/>
        <v>5.9</v>
      </c>
      <c r="E115" s="161" t="e">
        <f t="shared" si="27"/>
        <v>#DIV/0!</v>
      </c>
      <c r="F115" s="152">
        <f t="shared" si="24"/>
        <v>5.8998170000000005</v>
      </c>
      <c r="G115" s="152">
        <v>50000</v>
      </c>
      <c r="H115" s="152">
        <v>0</v>
      </c>
      <c r="I115" s="153">
        <v>400000</v>
      </c>
      <c r="J115" s="152">
        <v>0</v>
      </c>
      <c r="K115" s="152">
        <f t="shared" si="28"/>
        <v>0</v>
      </c>
      <c r="L115" s="153">
        <f t="shared" si="32"/>
        <v>0</v>
      </c>
      <c r="M115" s="153">
        <f t="shared" si="29"/>
        <v>1628255.8139534884</v>
      </c>
      <c r="N115" s="169">
        <f t="shared" si="25"/>
        <v>0</v>
      </c>
      <c r="O115" s="161" t="e">
        <f t="shared" si="26"/>
        <v>#DIV/0!</v>
      </c>
      <c r="S115" s="39"/>
      <c r="T115" s="27"/>
      <c r="AB115"/>
      <c r="AC115"/>
      <c r="AD115"/>
    </row>
    <row r="116" spans="1:30">
      <c r="A116" s="152">
        <f t="shared" si="33"/>
        <v>85</v>
      </c>
      <c r="B116" s="152">
        <v>0</v>
      </c>
      <c r="C116" s="170">
        <f t="shared" si="31"/>
        <v>-1.9188000000000076</v>
      </c>
      <c r="D116" s="170">
        <f t="shared" si="30"/>
        <v>5.9</v>
      </c>
      <c r="E116" s="161" t="e">
        <f t="shared" si="27"/>
        <v>#DIV/0!</v>
      </c>
      <c r="F116" s="152">
        <f t="shared" si="24"/>
        <v>5.8998170000000005</v>
      </c>
      <c r="G116" s="152">
        <v>50000</v>
      </c>
      <c r="H116" s="152">
        <v>0</v>
      </c>
      <c r="I116" s="153">
        <v>400000</v>
      </c>
      <c r="J116" s="152">
        <v>0</v>
      </c>
      <c r="K116" s="152">
        <f t="shared" si="28"/>
        <v>0</v>
      </c>
      <c r="L116" s="153">
        <f t="shared" si="32"/>
        <v>0</v>
      </c>
      <c r="M116" s="153">
        <f t="shared" si="29"/>
        <v>1628255.8139534884</v>
      </c>
      <c r="N116" s="169">
        <f t="shared" si="25"/>
        <v>0</v>
      </c>
      <c r="O116" s="161" t="e">
        <f t="shared" si="26"/>
        <v>#DIV/0!</v>
      </c>
      <c r="Q116" s="40"/>
      <c r="S116" s="39"/>
      <c r="T116" s="27"/>
      <c r="AB116"/>
      <c r="AC116"/>
      <c r="AD116"/>
    </row>
    <row r="117" spans="1:30">
      <c r="A117" s="152">
        <f t="shared" si="33"/>
        <v>86</v>
      </c>
      <c r="B117" s="152">
        <v>0</v>
      </c>
      <c r="C117" s="170">
        <f t="shared" si="31"/>
        <v>-1.9178000000000077</v>
      </c>
      <c r="D117" s="170">
        <f t="shared" si="30"/>
        <v>5.9</v>
      </c>
      <c r="E117" s="161" t="e">
        <f t="shared" si="27"/>
        <v>#DIV/0!</v>
      </c>
      <c r="F117" s="152">
        <f t="shared" si="24"/>
        <v>5.8998170000000005</v>
      </c>
      <c r="G117" s="152">
        <v>50000</v>
      </c>
      <c r="H117" s="152">
        <v>0</v>
      </c>
      <c r="I117" s="153">
        <v>400000</v>
      </c>
      <c r="J117" s="152">
        <v>0</v>
      </c>
      <c r="K117" s="152">
        <f t="shared" si="28"/>
        <v>0</v>
      </c>
      <c r="L117" s="153">
        <f t="shared" si="32"/>
        <v>0</v>
      </c>
      <c r="M117" s="153">
        <f t="shared" si="29"/>
        <v>1628255.8139534884</v>
      </c>
      <c r="N117" s="169">
        <f t="shared" si="25"/>
        <v>0</v>
      </c>
      <c r="O117" s="161" t="e">
        <f t="shared" si="26"/>
        <v>#DIV/0!</v>
      </c>
      <c r="Q117" s="40"/>
      <c r="S117" s="39"/>
      <c r="T117" s="27"/>
      <c r="AB117"/>
      <c r="AC117"/>
      <c r="AD117"/>
    </row>
    <row r="118" spans="1:30">
      <c r="A118" s="152">
        <f t="shared" si="33"/>
        <v>87</v>
      </c>
      <c r="B118" s="152">
        <v>0</v>
      </c>
      <c r="C118" s="170">
        <f t="shared" si="31"/>
        <v>-1.9168000000000078</v>
      </c>
      <c r="D118" s="170">
        <f t="shared" si="30"/>
        <v>5.9</v>
      </c>
      <c r="E118" s="161" t="e">
        <f t="shared" si="27"/>
        <v>#DIV/0!</v>
      </c>
      <c r="F118" s="152">
        <f t="shared" si="24"/>
        <v>5.8998170000000005</v>
      </c>
      <c r="G118" s="152">
        <v>50000</v>
      </c>
      <c r="H118" s="152">
        <v>0</v>
      </c>
      <c r="I118" s="153">
        <v>400000</v>
      </c>
      <c r="J118" s="152">
        <v>0</v>
      </c>
      <c r="K118" s="152">
        <f t="shared" si="28"/>
        <v>0</v>
      </c>
      <c r="L118" s="153">
        <f t="shared" si="32"/>
        <v>0</v>
      </c>
      <c r="M118" s="153">
        <f t="shared" si="29"/>
        <v>1628255.8139534884</v>
      </c>
      <c r="N118" s="169">
        <f t="shared" si="25"/>
        <v>0</v>
      </c>
      <c r="O118" s="161" t="e">
        <f t="shared" si="26"/>
        <v>#DIV/0!</v>
      </c>
      <c r="S118" s="39"/>
      <c r="T118" s="27"/>
      <c r="AB118"/>
      <c r="AC118"/>
      <c r="AD118"/>
    </row>
    <row r="119" spans="1:30">
      <c r="A119" s="152">
        <f t="shared" si="33"/>
        <v>88</v>
      </c>
      <c r="B119" s="152">
        <v>0</v>
      </c>
      <c r="C119" s="170">
        <f t="shared" si="31"/>
        <v>-1.9158000000000079</v>
      </c>
      <c r="D119" s="170">
        <f t="shared" si="30"/>
        <v>5.9</v>
      </c>
      <c r="E119" s="161" t="e">
        <f t="shared" si="27"/>
        <v>#DIV/0!</v>
      </c>
      <c r="F119" s="152">
        <f t="shared" si="24"/>
        <v>5.8998170000000005</v>
      </c>
      <c r="G119" s="152">
        <v>50000</v>
      </c>
      <c r="H119" s="152">
        <v>0</v>
      </c>
      <c r="I119" s="153">
        <v>400000</v>
      </c>
      <c r="J119" s="152">
        <v>0</v>
      </c>
      <c r="K119" s="152">
        <f t="shared" si="28"/>
        <v>0</v>
      </c>
      <c r="L119" s="153">
        <f t="shared" si="32"/>
        <v>0</v>
      </c>
      <c r="M119" s="153">
        <f t="shared" si="29"/>
        <v>1628255.8139534884</v>
      </c>
      <c r="N119" s="169">
        <f t="shared" si="25"/>
        <v>0</v>
      </c>
      <c r="O119" s="161" t="e">
        <f t="shared" si="26"/>
        <v>#DIV/0!</v>
      </c>
      <c r="Q119" s="40"/>
      <c r="S119" s="39"/>
      <c r="T119" s="27"/>
      <c r="AB119"/>
      <c r="AC119"/>
      <c r="AD119"/>
    </row>
    <row r="120" spans="1:30">
      <c r="A120" s="152">
        <f>A119+1</f>
        <v>89</v>
      </c>
      <c r="B120" s="152">
        <v>0</v>
      </c>
      <c r="C120" s="170">
        <f t="shared" si="31"/>
        <v>-1.9148000000000081</v>
      </c>
      <c r="D120" s="170">
        <f t="shared" si="30"/>
        <v>5.9</v>
      </c>
      <c r="E120" s="161" t="e">
        <f t="shared" si="27"/>
        <v>#DIV/0!</v>
      </c>
      <c r="F120" s="152">
        <f t="shared" si="24"/>
        <v>5.8998170000000005</v>
      </c>
      <c r="G120" s="152">
        <v>50000</v>
      </c>
      <c r="H120" s="152">
        <v>0</v>
      </c>
      <c r="I120" s="153">
        <v>400000</v>
      </c>
      <c r="J120" s="152">
        <v>0</v>
      </c>
      <c r="K120" s="152">
        <f t="shared" si="28"/>
        <v>0</v>
      </c>
      <c r="L120" s="153">
        <f t="shared" si="32"/>
        <v>0</v>
      </c>
      <c r="M120" s="153">
        <f t="shared" si="29"/>
        <v>1628255.8139534884</v>
      </c>
      <c r="N120" s="169">
        <f t="shared" si="25"/>
        <v>0</v>
      </c>
      <c r="O120" s="161" t="e">
        <f t="shared" si="26"/>
        <v>#DIV/0!</v>
      </c>
      <c r="S120" s="39"/>
      <c r="T120" s="27"/>
      <c r="AB120"/>
      <c r="AC120"/>
      <c r="AD120"/>
    </row>
    <row r="121" spans="1:30">
      <c r="A121" s="152">
        <f t="shared" ref="A121:A131" si="34">A120+1</f>
        <v>90</v>
      </c>
      <c r="B121" s="152">
        <v>0</v>
      </c>
      <c r="C121" s="170">
        <f t="shared" si="31"/>
        <v>-1.9138000000000082</v>
      </c>
      <c r="D121" s="170">
        <f t="shared" si="30"/>
        <v>5.9</v>
      </c>
      <c r="E121" s="161" t="e">
        <f t="shared" si="27"/>
        <v>#DIV/0!</v>
      </c>
      <c r="F121" s="152">
        <f t="shared" si="24"/>
        <v>5.8998170000000005</v>
      </c>
      <c r="G121" s="152">
        <v>50000</v>
      </c>
      <c r="H121" s="152">
        <v>0</v>
      </c>
      <c r="I121" s="153">
        <v>400000</v>
      </c>
      <c r="J121" s="152">
        <v>0</v>
      </c>
      <c r="K121" s="152">
        <f t="shared" si="28"/>
        <v>0</v>
      </c>
      <c r="L121" s="153">
        <f t="shared" si="32"/>
        <v>0</v>
      </c>
      <c r="M121" s="153">
        <f t="shared" si="29"/>
        <v>1628255.8139534884</v>
      </c>
      <c r="N121" s="169">
        <f t="shared" si="25"/>
        <v>0</v>
      </c>
      <c r="O121" s="161" t="e">
        <f t="shared" si="26"/>
        <v>#DIV/0!</v>
      </c>
      <c r="Q121" s="40"/>
      <c r="S121" s="39"/>
      <c r="T121" s="27"/>
      <c r="AB121"/>
      <c r="AC121"/>
      <c r="AD121"/>
    </row>
    <row r="122" spans="1:30">
      <c r="A122" s="152">
        <f t="shared" si="34"/>
        <v>91</v>
      </c>
      <c r="B122" s="152">
        <v>0</v>
      </c>
      <c r="C122" s="170">
        <f t="shared" si="31"/>
        <v>-1.9128000000000083</v>
      </c>
      <c r="D122" s="170">
        <f t="shared" si="30"/>
        <v>5.9</v>
      </c>
      <c r="E122" s="161" t="e">
        <f t="shared" si="27"/>
        <v>#DIV/0!</v>
      </c>
      <c r="F122" s="152">
        <f t="shared" si="24"/>
        <v>5.8998170000000005</v>
      </c>
      <c r="G122" s="152">
        <v>50000</v>
      </c>
      <c r="H122" s="152">
        <v>0</v>
      </c>
      <c r="I122" s="153">
        <v>400000</v>
      </c>
      <c r="J122" s="152">
        <v>0</v>
      </c>
      <c r="K122" s="152">
        <f t="shared" si="28"/>
        <v>0</v>
      </c>
      <c r="L122" s="153">
        <f t="shared" si="32"/>
        <v>0</v>
      </c>
      <c r="M122" s="153">
        <f t="shared" si="29"/>
        <v>1628255.8139534884</v>
      </c>
      <c r="N122" s="169">
        <f t="shared" si="25"/>
        <v>0</v>
      </c>
      <c r="O122" s="161" t="e">
        <f t="shared" si="26"/>
        <v>#DIV/0!</v>
      </c>
      <c r="Q122" s="40"/>
      <c r="S122" s="39"/>
      <c r="T122" s="27"/>
      <c r="AB122"/>
      <c r="AC122"/>
      <c r="AD122"/>
    </row>
    <row r="123" spans="1:30">
      <c r="A123" s="152">
        <f t="shared" si="34"/>
        <v>92</v>
      </c>
      <c r="B123" s="152">
        <v>0</v>
      </c>
      <c r="C123" s="170">
        <f>C122+0.0005</f>
        <v>-1.9123000000000083</v>
      </c>
      <c r="D123" s="170">
        <f t="shared" si="30"/>
        <v>5.9</v>
      </c>
      <c r="E123" s="161" t="e">
        <f t="shared" si="27"/>
        <v>#DIV/0!</v>
      </c>
      <c r="F123" s="152">
        <f t="shared" si="24"/>
        <v>5.8998170000000005</v>
      </c>
      <c r="G123" s="152">
        <v>50000</v>
      </c>
      <c r="H123" s="152">
        <v>0</v>
      </c>
      <c r="I123" s="153">
        <v>400000</v>
      </c>
      <c r="J123" s="152">
        <v>0</v>
      </c>
      <c r="K123" s="152">
        <f t="shared" si="28"/>
        <v>0</v>
      </c>
      <c r="L123" s="153">
        <f t="shared" si="32"/>
        <v>0</v>
      </c>
      <c r="M123" s="153">
        <f t="shared" si="29"/>
        <v>1628255.8139534884</v>
      </c>
      <c r="N123" s="169">
        <f t="shared" si="25"/>
        <v>0</v>
      </c>
      <c r="O123" s="161" t="e">
        <f t="shared" si="26"/>
        <v>#DIV/0!</v>
      </c>
      <c r="S123" s="39"/>
      <c r="T123" s="27"/>
      <c r="AB123"/>
      <c r="AC123"/>
      <c r="AD123"/>
    </row>
    <row r="124" spans="1:30">
      <c r="A124" s="152">
        <f t="shared" si="34"/>
        <v>93</v>
      </c>
      <c r="B124" s="152">
        <v>0</v>
      </c>
      <c r="C124" s="170">
        <f t="shared" ref="C124:C131" si="35">C123+0.0005</f>
        <v>-1.9118000000000084</v>
      </c>
      <c r="D124" s="170">
        <f t="shared" si="30"/>
        <v>5.9</v>
      </c>
      <c r="E124" s="161" t="e">
        <f t="shared" si="27"/>
        <v>#DIV/0!</v>
      </c>
      <c r="F124" s="152">
        <f t="shared" si="24"/>
        <v>5.8998170000000005</v>
      </c>
      <c r="G124" s="152">
        <v>50000</v>
      </c>
      <c r="H124" s="152">
        <v>0</v>
      </c>
      <c r="I124" s="153">
        <v>400000</v>
      </c>
      <c r="J124" s="152">
        <v>0</v>
      </c>
      <c r="K124" s="152">
        <f t="shared" si="28"/>
        <v>0</v>
      </c>
      <c r="L124" s="153">
        <f t="shared" si="32"/>
        <v>0</v>
      </c>
      <c r="M124" s="153">
        <f t="shared" si="29"/>
        <v>1628255.8139534884</v>
      </c>
      <c r="N124" s="169">
        <f t="shared" si="25"/>
        <v>0</v>
      </c>
      <c r="O124" s="161" t="e">
        <f t="shared" si="26"/>
        <v>#DIV/0!</v>
      </c>
      <c r="Q124" s="40"/>
      <c r="S124" s="39"/>
      <c r="T124" s="27"/>
      <c r="AB124"/>
      <c r="AC124"/>
      <c r="AD124"/>
    </row>
    <row r="125" spans="1:30">
      <c r="A125" s="152">
        <f>A124+1</f>
        <v>94</v>
      </c>
      <c r="B125" s="152">
        <v>0</v>
      </c>
      <c r="C125" s="170">
        <f t="shared" si="35"/>
        <v>-1.9113000000000084</v>
      </c>
      <c r="D125" s="170">
        <f t="shared" si="30"/>
        <v>5.9</v>
      </c>
      <c r="E125" s="161" t="e">
        <f t="shared" si="27"/>
        <v>#DIV/0!</v>
      </c>
      <c r="F125" s="152">
        <f t="shared" si="24"/>
        <v>5.8998170000000005</v>
      </c>
      <c r="G125" s="152">
        <v>50000</v>
      </c>
      <c r="H125" s="152">
        <v>0</v>
      </c>
      <c r="I125" s="153">
        <v>400000</v>
      </c>
      <c r="J125" s="152">
        <v>0</v>
      </c>
      <c r="K125" s="152">
        <f t="shared" si="28"/>
        <v>0</v>
      </c>
      <c r="L125" s="153">
        <f t="shared" si="32"/>
        <v>0</v>
      </c>
      <c r="M125" s="153">
        <f t="shared" si="29"/>
        <v>1628255.8139534884</v>
      </c>
      <c r="N125" s="169">
        <f t="shared" si="25"/>
        <v>0</v>
      </c>
      <c r="O125" s="161" t="e">
        <f t="shared" si="26"/>
        <v>#DIV/0!</v>
      </c>
      <c r="S125" s="39"/>
      <c r="T125" s="27"/>
      <c r="AB125"/>
      <c r="AC125"/>
      <c r="AD125"/>
    </row>
    <row r="126" spans="1:30">
      <c r="A126" s="152">
        <f t="shared" si="34"/>
        <v>95</v>
      </c>
      <c r="B126" s="152">
        <v>0</v>
      </c>
      <c r="C126" s="170">
        <f t="shared" si="35"/>
        <v>-1.9108000000000085</v>
      </c>
      <c r="D126" s="170">
        <f t="shared" si="30"/>
        <v>5.9</v>
      </c>
      <c r="E126" s="161" t="e">
        <f t="shared" si="27"/>
        <v>#DIV/0!</v>
      </c>
      <c r="F126" s="152">
        <f t="shared" si="24"/>
        <v>5.8998170000000005</v>
      </c>
      <c r="G126" s="152">
        <v>50000</v>
      </c>
      <c r="H126" s="152">
        <v>0</v>
      </c>
      <c r="I126" s="153">
        <v>400000</v>
      </c>
      <c r="J126" s="152">
        <v>0</v>
      </c>
      <c r="K126" s="152">
        <f t="shared" si="28"/>
        <v>0</v>
      </c>
      <c r="L126" s="153">
        <f t="shared" si="32"/>
        <v>0</v>
      </c>
      <c r="M126" s="153">
        <f t="shared" si="29"/>
        <v>1628255.8139534884</v>
      </c>
      <c r="N126" s="169">
        <f t="shared" si="25"/>
        <v>0</v>
      </c>
      <c r="O126" s="161" t="e">
        <f t="shared" si="26"/>
        <v>#DIV/0!</v>
      </c>
      <c r="Q126" s="40"/>
      <c r="S126" s="39"/>
      <c r="T126" s="27"/>
      <c r="AB126"/>
      <c r="AC126"/>
      <c r="AD126"/>
    </row>
    <row r="127" spans="1:30">
      <c r="A127" s="152">
        <f t="shared" si="34"/>
        <v>96</v>
      </c>
      <c r="B127" s="152">
        <v>0</v>
      </c>
      <c r="C127" s="170">
        <f t="shared" si="35"/>
        <v>-1.9103000000000085</v>
      </c>
      <c r="D127" s="170">
        <f t="shared" si="30"/>
        <v>5.9</v>
      </c>
      <c r="E127" s="161" t="e">
        <f t="shared" si="27"/>
        <v>#DIV/0!</v>
      </c>
      <c r="F127" s="152">
        <f t="shared" si="24"/>
        <v>5.8998170000000005</v>
      </c>
      <c r="G127" s="152">
        <v>50000</v>
      </c>
      <c r="H127" s="152">
        <v>0</v>
      </c>
      <c r="I127" s="153">
        <v>400000</v>
      </c>
      <c r="J127" s="152">
        <v>0</v>
      </c>
      <c r="K127" s="152">
        <f t="shared" si="28"/>
        <v>0</v>
      </c>
      <c r="L127" s="153">
        <f t="shared" si="32"/>
        <v>0</v>
      </c>
      <c r="M127" s="153">
        <f t="shared" si="29"/>
        <v>1628255.8139534884</v>
      </c>
      <c r="N127" s="169">
        <f t="shared" si="25"/>
        <v>0</v>
      </c>
      <c r="O127" s="161" t="e">
        <f t="shared" si="26"/>
        <v>#DIV/0!</v>
      </c>
      <c r="Q127" s="40"/>
      <c r="S127" s="39"/>
      <c r="T127" s="27"/>
      <c r="AB127"/>
      <c r="AC127"/>
      <c r="AD127"/>
    </row>
    <row r="128" spans="1:30">
      <c r="A128" s="152">
        <f t="shared" si="34"/>
        <v>97</v>
      </c>
      <c r="B128" s="152">
        <v>0</v>
      </c>
      <c r="C128" s="170">
        <f t="shared" si="35"/>
        <v>-1.9098000000000086</v>
      </c>
      <c r="D128" s="170">
        <f t="shared" si="30"/>
        <v>5.9</v>
      </c>
      <c r="E128" s="161" t="e">
        <f t="shared" si="27"/>
        <v>#DIV/0!</v>
      </c>
      <c r="F128" s="152">
        <f t="shared" si="24"/>
        <v>5.8998170000000005</v>
      </c>
      <c r="G128" s="152">
        <v>50000</v>
      </c>
      <c r="H128" s="152">
        <v>0</v>
      </c>
      <c r="I128" s="153">
        <v>400000</v>
      </c>
      <c r="J128" s="152">
        <v>0</v>
      </c>
      <c r="K128" s="152">
        <f t="shared" si="28"/>
        <v>0</v>
      </c>
      <c r="L128" s="153">
        <f t="shared" si="32"/>
        <v>0</v>
      </c>
      <c r="M128" s="153">
        <f t="shared" si="29"/>
        <v>1628255.8139534884</v>
      </c>
      <c r="N128" s="169">
        <f t="shared" ref="N128:N131" si="36">L128/M128</f>
        <v>0</v>
      </c>
      <c r="O128" s="161" t="e">
        <f t="shared" ref="O128:O131" si="37">J128/N128</f>
        <v>#DIV/0!</v>
      </c>
      <c r="S128" s="39"/>
      <c r="T128" s="27"/>
      <c r="AB128"/>
      <c r="AC128"/>
      <c r="AD128"/>
    </row>
    <row r="129" spans="1:30">
      <c r="A129" s="152">
        <f t="shared" si="34"/>
        <v>98</v>
      </c>
      <c r="B129" s="152">
        <v>0</v>
      </c>
      <c r="C129" s="170">
        <f t="shared" si="35"/>
        <v>-1.9093000000000087</v>
      </c>
      <c r="D129" s="170">
        <f t="shared" si="30"/>
        <v>5.9</v>
      </c>
      <c r="E129" s="161" t="e">
        <f t="shared" si="27"/>
        <v>#DIV/0!</v>
      </c>
      <c r="F129" s="152">
        <f t="shared" si="24"/>
        <v>5.8998170000000005</v>
      </c>
      <c r="G129" s="152">
        <v>50000</v>
      </c>
      <c r="H129" s="152">
        <v>0</v>
      </c>
      <c r="I129" s="153">
        <v>400000</v>
      </c>
      <c r="J129" s="152">
        <v>0</v>
      </c>
      <c r="K129" s="152">
        <f t="shared" si="28"/>
        <v>0</v>
      </c>
      <c r="L129" s="153">
        <f t="shared" si="32"/>
        <v>0</v>
      </c>
      <c r="M129" s="153">
        <f t="shared" si="29"/>
        <v>1628255.8139534884</v>
      </c>
      <c r="N129" s="169">
        <f t="shared" si="36"/>
        <v>0</v>
      </c>
      <c r="O129" s="161" t="e">
        <f t="shared" si="37"/>
        <v>#DIV/0!</v>
      </c>
      <c r="Q129" s="40"/>
      <c r="S129" s="39"/>
      <c r="T129" s="27"/>
      <c r="AB129"/>
      <c r="AC129"/>
      <c r="AD129"/>
    </row>
    <row r="130" spans="1:30">
      <c r="A130" s="152">
        <f>A129+1</f>
        <v>99</v>
      </c>
      <c r="B130" s="152">
        <v>0</v>
      </c>
      <c r="C130" s="170">
        <f t="shared" si="35"/>
        <v>-1.9088000000000087</v>
      </c>
      <c r="D130" s="170">
        <f t="shared" si="30"/>
        <v>5.9</v>
      </c>
      <c r="E130" s="161" t="e">
        <f t="shared" si="27"/>
        <v>#DIV/0!</v>
      </c>
      <c r="F130" s="152">
        <f t="shared" si="24"/>
        <v>5.8998170000000005</v>
      </c>
      <c r="G130" s="152">
        <v>50000</v>
      </c>
      <c r="H130" s="152">
        <v>0</v>
      </c>
      <c r="I130" s="153">
        <v>400000</v>
      </c>
      <c r="J130" s="152">
        <v>0</v>
      </c>
      <c r="K130" s="152">
        <f t="shared" si="28"/>
        <v>0</v>
      </c>
      <c r="L130" s="153">
        <f t="shared" si="32"/>
        <v>0</v>
      </c>
      <c r="M130" s="153">
        <f t="shared" si="29"/>
        <v>1628255.8139534884</v>
      </c>
      <c r="N130" s="169">
        <f t="shared" si="36"/>
        <v>0</v>
      </c>
      <c r="O130" s="161" t="e">
        <f t="shared" si="37"/>
        <v>#DIV/0!</v>
      </c>
      <c r="S130" s="39"/>
      <c r="T130" s="27"/>
      <c r="AB130"/>
      <c r="AC130"/>
      <c r="AD130"/>
    </row>
    <row r="131" spans="1:30">
      <c r="A131" s="152">
        <f t="shared" si="34"/>
        <v>100</v>
      </c>
      <c r="B131" s="152">
        <v>0</v>
      </c>
      <c r="C131" s="170">
        <f t="shared" si="35"/>
        <v>-1.9083000000000088</v>
      </c>
      <c r="D131" s="170">
        <f t="shared" si="30"/>
        <v>5.9</v>
      </c>
      <c r="E131" s="161" t="e">
        <f t="shared" si="27"/>
        <v>#DIV/0!</v>
      </c>
      <c r="F131" s="152">
        <f t="shared" si="24"/>
        <v>5.8998170000000005</v>
      </c>
      <c r="G131" s="152">
        <v>50000</v>
      </c>
      <c r="H131" s="152">
        <v>0</v>
      </c>
      <c r="I131" s="153">
        <v>400000</v>
      </c>
      <c r="J131" s="152">
        <v>0</v>
      </c>
      <c r="K131" s="152">
        <f>J131/1000</f>
        <v>0</v>
      </c>
      <c r="L131" s="153">
        <f>I131*J131</f>
        <v>0</v>
      </c>
      <c r="M131" s="153">
        <f t="shared" si="29"/>
        <v>1628255.8139534884</v>
      </c>
      <c r="N131" s="169">
        <f t="shared" si="36"/>
        <v>0</v>
      </c>
      <c r="O131" s="161" t="e">
        <f t="shared" si="37"/>
        <v>#DIV/0!</v>
      </c>
      <c r="Q131" s="40"/>
      <c r="S131" s="39"/>
      <c r="T131" s="27"/>
      <c r="AB131"/>
      <c r="AC131"/>
      <c r="AD131"/>
    </row>
    <row r="132" spans="1:30">
      <c r="A132" s="40"/>
      <c r="B132" s="39"/>
      <c r="C132" s="39"/>
      <c r="D132"/>
      <c r="S132" s="39"/>
      <c r="T132" s="27"/>
      <c r="AB132"/>
      <c r="AC132"/>
      <c r="AD132"/>
    </row>
    <row r="133" spans="1:30">
      <c r="A133" s="26" t="s">
        <v>182</v>
      </c>
      <c r="S133" s="39"/>
      <c r="T133" s="27"/>
      <c r="AB133"/>
      <c r="AC133"/>
      <c r="AD133"/>
    </row>
    <row r="134" spans="1:30">
      <c r="A134" s="152"/>
      <c r="B134" s="156" t="s">
        <v>95</v>
      </c>
      <c r="C134" s="156" t="s">
        <v>96</v>
      </c>
      <c r="D134" s="157" t="s">
        <v>97</v>
      </c>
      <c r="E134" s="157" t="s">
        <v>98</v>
      </c>
      <c r="F134" s="157" t="s">
        <v>99</v>
      </c>
      <c r="G134" s="157" t="s">
        <v>65</v>
      </c>
      <c r="H134" s="158" t="s">
        <v>100</v>
      </c>
      <c r="I134" s="153" t="s">
        <v>86</v>
      </c>
      <c r="J134" s="152" t="s">
        <v>87</v>
      </c>
      <c r="K134" s="153" t="s">
        <v>88</v>
      </c>
      <c r="L134" s="153" t="s">
        <v>89</v>
      </c>
      <c r="M134" s="153" t="s">
        <v>90</v>
      </c>
      <c r="N134" s="153" t="s">
        <v>91</v>
      </c>
      <c r="O134" s="153" t="s">
        <v>92</v>
      </c>
      <c r="P134" s="167" t="s">
        <v>93</v>
      </c>
      <c r="R134" s="27" t="s">
        <v>152</v>
      </c>
      <c r="S134" s="27" t="s">
        <v>153</v>
      </c>
      <c r="T134" s="27"/>
      <c r="AB134"/>
      <c r="AC134"/>
      <c r="AD134"/>
    </row>
    <row r="135" spans="1:30">
      <c r="A135" s="152">
        <v>1</v>
      </c>
      <c r="B135" s="152">
        <v>0</v>
      </c>
      <c r="C135" s="170">
        <f>Q16-0.1</f>
        <v>-2.1</v>
      </c>
      <c r="D135" s="152">
        <f>$Q$17+0.1-(K135/2)+($P$24/2000)</f>
        <v>5.9875914999999997</v>
      </c>
      <c r="E135" s="161">
        <f>P135</f>
        <v>8.6840310077519381E-5</v>
      </c>
      <c r="F135" s="152">
        <f>IF($B135,$C135,$D135)+$K135-IF($B135,$O$24/1000,$P$24/1000)</f>
        <v>6.0124085000000003</v>
      </c>
      <c r="G135" s="152">
        <v>50000</v>
      </c>
      <c r="H135" s="152">
        <f>(I135-IF(B135,$P$24,$O$24))/(IF(B135,$P$22,$O$22)-IF(B135,$P$24,$O$24))*10</f>
        <v>4.0146635160068627</v>
      </c>
      <c r="I135" s="162">
        <v>5</v>
      </c>
      <c r="J135" s="154">
        <v>600</v>
      </c>
      <c r="K135" s="152">
        <v>2.5000000000000001E-2</v>
      </c>
      <c r="L135" s="152">
        <f>I135*0.001*K135</f>
        <v>1.25E-4</v>
      </c>
      <c r="M135" s="152">
        <f>L135*J135*(0.000000001)/(1.6E-19)</f>
        <v>468750000</v>
      </c>
      <c r="N135" s="153">
        <f>MAX($D$3:$D$15)*2</f>
        <v>1628255.8139534884</v>
      </c>
      <c r="O135" s="168">
        <f>M135/N135</f>
        <v>287.88473898450331</v>
      </c>
      <c r="P135" s="161">
        <f>K135/O135</f>
        <v>8.6840310077519381E-5</v>
      </c>
      <c r="R135" s="40">
        <f>SUM(O135:O142)</f>
        <v>1450.0178533171243</v>
      </c>
      <c r="S135" s="62">
        <f>R135/60</f>
        <v>24.166964221952071</v>
      </c>
      <c r="T135" s="27"/>
      <c r="AB135"/>
      <c r="AC135"/>
      <c r="AD135"/>
    </row>
    <row r="136" spans="1:30">
      <c r="A136" s="152">
        <f>A135+1</f>
        <v>2</v>
      </c>
      <c r="B136" s="152">
        <v>1</v>
      </c>
      <c r="C136" s="170">
        <f>C135-(K136/2)+($O$24/2000)</f>
        <v>-2.1124805000000002</v>
      </c>
      <c r="D136" s="161">
        <f>$Q$17+0.1</f>
        <v>6</v>
      </c>
      <c r="E136" s="161">
        <f t="shared" ref="E136" si="38">P136</f>
        <v>8.6840310077519381E-5</v>
      </c>
      <c r="F136" s="152">
        <f>IF($B136,$C136,$D136)+$K136-IF($B136,$O$24/1000,$P$24/1000)</f>
        <v>-2.0875195000000004</v>
      </c>
      <c r="G136" s="152">
        <v>50000</v>
      </c>
      <c r="H136" s="152">
        <f>(I136-IF(B136,$P$24,$O$24))/(IF(B136,$P$22,$O$22)-IF(B136,$P$24,$O$24))*10</f>
        <v>4.6769714740664501</v>
      </c>
      <c r="I136" s="162">
        <v>5</v>
      </c>
      <c r="J136" s="154">
        <v>600</v>
      </c>
      <c r="K136" s="152">
        <v>2.5000000000000001E-2</v>
      </c>
      <c r="L136" s="152">
        <f t="shared" ref="L136" si="39">I136*0.001*K136</f>
        <v>1.25E-4</v>
      </c>
      <c r="M136" s="152">
        <f t="shared" ref="M136" si="40">L136*J136*(0.000000001)/(1.6E-19)</f>
        <v>468750000</v>
      </c>
      <c r="N136" s="153">
        <f t="shared" ref="N136:N138" si="41">MAX($D$3:$D$15)*2</f>
        <v>1628255.8139534884</v>
      </c>
      <c r="O136" s="168">
        <f>M136/N136</f>
        <v>287.88473898450331</v>
      </c>
      <c r="P136" s="161">
        <f>K136/O136</f>
        <v>8.6840310077519381E-5</v>
      </c>
      <c r="T136" s="27"/>
      <c r="AB136"/>
      <c r="AC136"/>
      <c r="AD136"/>
    </row>
    <row r="137" spans="1:30">
      <c r="A137" s="152">
        <f>A136+1</f>
        <v>3</v>
      </c>
      <c r="B137" s="152">
        <v>0</v>
      </c>
      <c r="C137" s="170">
        <f>C75+0.1</f>
        <v>-1.8588000000000031</v>
      </c>
      <c r="D137" s="152">
        <f>D135</f>
        <v>5.9875914999999997</v>
      </c>
      <c r="E137" s="161">
        <f>P137</f>
        <v>8.6840310077519381E-5</v>
      </c>
      <c r="F137" s="152">
        <f>IF($B137,$C137,$D137)+$K137-IF($B137,$O$24/1000,$P$24/1000)</f>
        <v>6.0124085000000003</v>
      </c>
      <c r="G137" s="152">
        <v>50000</v>
      </c>
      <c r="H137" s="152">
        <f>(I137-IF(B137,$P$24,$O$24))/(IF(B137,$P$22,$O$22)-IF(B137,$P$24,$O$24))*10</f>
        <v>4.0146635160068627</v>
      </c>
      <c r="I137" s="162">
        <v>5</v>
      </c>
      <c r="J137" s="154">
        <v>600</v>
      </c>
      <c r="K137" s="152">
        <v>2.5000000000000001E-2</v>
      </c>
      <c r="L137" s="152">
        <f>I137*0.001*K137</f>
        <v>1.25E-4</v>
      </c>
      <c r="M137" s="152">
        <f>L137*J137*(0.000000001)/(1.6E-19)</f>
        <v>468750000</v>
      </c>
      <c r="N137" s="153">
        <f t="shared" si="41"/>
        <v>1628255.8139534884</v>
      </c>
      <c r="O137" s="168">
        <f>M137/N137</f>
        <v>287.88473898450331</v>
      </c>
      <c r="P137" s="161">
        <f>K137/O137</f>
        <v>8.6840310077519381E-5</v>
      </c>
      <c r="R137" s="40"/>
      <c r="T137" s="27"/>
      <c r="AB137"/>
      <c r="AC137"/>
      <c r="AD137"/>
    </row>
    <row r="138" spans="1:30">
      <c r="A138" s="152">
        <f>A137+1</f>
        <v>4</v>
      </c>
      <c r="B138" s="152">
        <v>1</v>
      </c>
      <c r="C138" s="152">
        <f>C137-(K138/2)+($O$24/2000)</f>
        <v>-1.871280500000003</v>
      </c>
      <c r="D138" s="161">
        <f>D136</f>
        <v>6</v>
      </c>
      <c r="E138" s="161">
        <f t="shared" ref="E138" si="42">P138</f>
        <v>8.6840310077519381E-5</v>
      </c>
      <c r="F138" s="152">
        <f>IF($B138,$C138,$D138)+$K138-IF($B138,$O$24/1000,$P$24/1000)</f>
        <v>-1.846319500000003</v>
      </c>
      <c r="G138" s="152">
        <v>50000</v>
      </c>
      <c r="H138" s="152">
        <f>(I138-IF(B138,$P$24,$O$24))/(IF(B138,$P$22,$O$22)-IF(B138,$P$24,$O$24))*10</f>
        <v>4.6769714740664501</v>
      </c>
      <c r="I138" s="162">
        <v>5</v>
      </c>
      <c r="J138" s="154">
        <v>600</v>
      </c>
      <c r="K138" s="152">
        <v>2.5000000000000001E-2</v>
      </c>
      <c r="L138" s="152">
        <f t="shared" ref="L138" si="43">I138*0.001*K138</f>
        <v>1.25E-4</v>
      </c>
      <c r="M138" s="152">
        <f t="shared" ref="M138" si="44">L138*J138*(0.000000001)/(1.6E-19)</f>
        <v>468750000</v>
      </c>
      <c r="N138" s="153">
        <f t="shared" si="41"/>
        <v>1628255.8139534884</v>
      </c>
      <c r="O138" s="168">
        <f>M138/N138</f>
        <v>287.88473898450331</v>
      </c>
      <c r="P138" s="161">
        <f>K138/O138</f>
        <v>8.6840310077519381E-5</v>
      </c>
      <c r="T138" s="27"/>
      <c r="AB138"/>
      <c r="AC138"/>
      <c r="AD138"/>
    </row>
    <row r="139" spans="1:30">
      <c r="A139" s="40" t="s">
        <v>183</v>
      </c>
      <c r="B139" s="39"/>
      <c r="C139" s="39"/>
      <c r="D139"/>
      <c r="T139" s="27"/>
      <c r="AB139"/>
      <c r="AC139"/>
      <c r="AD139"/>
    </row>
    <row r="140" spans="1:30">
      <c r="A140" s="152"/>
      <c r="B140" s="156" t="s">
        <v>95</v>
      </c>
      <c r="C140" s="156" t="s">
        <v>96</v>
      </c>
      <c r="D140" s="157" t="s">
        <v>97</v>
      </c>
      <c r="E140" s="157" t="s">
        <v>98</v>
      </c>
      <c r="F140" s="157" t="s">
        <v>99</v>
      </c>
      <c r="G140" s="157" t="s">
        <v>65</v>
      </c>
      <c r="H140" s="158" t="s">
        <v>100</v>
      </c>
      <c r="I140" s="153" t="s">
        <v>86</v>
      </c>
      <c r="J140" s="152" t="s">
        <v>87</v>
      </c>
      <c r="K140" s="153" t="s">
        <v>88</v>
      </c>
      <c r="L140" s="153" t="s">
        <v>89</v>
      </c>
      <c r="M140" s="153" t="s">
        <v>90</v>
      </c>
      <c r="N140" s="153" t="s">
        <v>91</v>
      </c>
      <c r="O140" s="153" t="s">
        <v>92</v>
      </c>
      <c r="P140" s="167" t="s">
        <v>93</v>
      </c>
      <c r="AB140"/>
      <c r="AC140"/>
      <c r="AD140"/>
    </row>
    <row r="141" spans="1:30">
      <c r="A141" s="152">
        <v>1</v>
      </c>
      <c r="B141" s="152">
        <v>1</v>
      </c>
      <c r="C141" s="170">
        <f>C29-0.001</f>
        <v>-2.0009999999999999</v>
      </c>
      <c r="D141" s="161">
        <f>D29+0.001</f>
        <v>5.9010000000000007</v>
      </c>
      <c r="E141" s="161">
        <f t="shared" ref="E141" si="45">P141</f>
        <v>2.8946770025839788E-4</v>
      </c>
      <c r="F141" s="152">
        <f>IF($B141,$C141,$D141)+$K141-IF($B141,$O$24/1000,$P$24/1000)</f>
        <v>-1.957839000000003</v>
      </c>
      <c r="G141" s="152">
        <v>50000</v>
      </c>
      <c r="H141" s="152">
        <f>(I141-IF(B141,$P$24,$O$24))/(IF(B141,$P$22,$O$22)-IF(B141,$P$24,$O$24))*10</f>
        <v>1.2787152649668911</v>
      </c>
      <c r="I141" s="162">
        <v>1.5</v>
      </c>
      <c r="J141" s="154">
        <v>600</v>
      </c>
      <c r="K141" s="167">
        <f>S75+0.002</f>
        <v>4.3199999999996797E-2</v>
      </c>
      <c r="L141" s="152">
        <f t="shared" ref="L141" si="46">I141*0.001*K141</f>
        <v>6.4799999999995192E-5</v>
      </c>
      <c r="M141" s="152">
        <f t="shared" ref="M141" si="47">L141*J141*(0.000000001)/(1.6E-19)</f>
        <v>242999999.99998203</v>
      </c>
      <c r="N141" s="153">
        <f t="shared" ref="N141:N142" si="48">MAX($D$3:$D$15)*2</f>
        <v>1628255.8139534884</v>
      </c>
      <c r="O141" s="168">
        <f>M141/N141</f>
        <v>149.23944868955547</v>
      </c>
      <c r="P141" s="161">
        <f>K141/O141</f>
        <v>2.8946770025839788E-4</v>
      </c>
      <c r="AB141"/>
      <c r="AC141"/>
      <c r="AD141"/>
    </row>
    <row r="142" spans="1:30">
      <c r="A142" s="152">
        <v>2</v>
      </c>
      <c r="B142" s="152">
        <v>1</v>
      </c>
      <c r="C142" s="170">
        <f>C29-0.001</f>
        <v>-2.0009999999999999</v>
      </c>
      <c r="D142" s="161">
        <f>F29-0.001</f>
        <v>5.908817</v>
      </c>
      <c r="E142" s="161">
        <f t="shared" ref="E142" si="49">P142</f>
        <v>2.8946770025839788E-4</v>
      </c>
      <c r="F142" s="152">
        <f>IF($B142,$C142,$D142)+$K142-IF($B142,$O$24/1000,$P$24/1000)</f>
        <v>-1.957839000000003</v>
      </c>
      <c r="G142" s="152">
        <v>50000</v>
      </c>
      <c r="H142" s="152">
        <f>(I142-IF(B142,$P$24,$O$24))/(IF(B142,$P$22,$O$22)-IF(B142,$P$24,$O$24))*10</f>
        <v>1.2787152649668911</v>
      </c>
      <c r="I142" s="162">
        <v>1.5</v>
      </c>
      <c r="J142" s="154">
        <v>600</v>
      </c>
      <c r="K142" s="167">
        <f>S75+0.002</f>
        <v>4.3199999999996797E-2</v>
      </c>
      <c r="L142" s="152">
        <f t="shared" ref="L142" si="50">I142*0.001*K142</f>
        <v>6.4799999999995192E-5</v>
      </c>
      <c r="M142" s="152">
        <f t="shared" ref="M142" si="51">L142*J142*(0.000000001)/(1.6E-19)</f>
        <v>242999999.99998203</v>
      </c>
      <c r="N142" s="153">
        <f t="shared" si="48"/>
        <v>1628255.8139534884</v>
      </c>
      <c r="O142" s="168">
        <f>M142/N142</f>
        <v>149.23944868955547</v>
      </c>
      <c r="P142" s="161">
        <f>K142/O142</f>
        <v>2.8946770025839788E-4</v>
      </c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 t="s">
        <v>95</v>
      </c>
      <c r="C144" s="39" t="s">
        <v>96</v>
      </c>
      <c r="D144" t="s">
        <v>97</v>
      </c>
      <c r="E144" t="s">
        <v>98</v>
      </c>
      <c r="F144" t="s">
        <v>99</v>
      </c>
      <c r="G144" t="s">
        <v>65</v>
      </c>
      <c r="H144" t="s">
        <v>100</v>
      </c>
      <c r="I144" t="s">
        <v>86</v>
      </c>
      <c r="J144" t="s">
        <v>87</v>
      </c>
      <c r="K144" t="s">
        <v>88</v>
      </c>
      <c r="L144" t="s">
        <v>89</v>
      </c>
      <c r="M144" t="s">
        <v>90</v>
      </c>
      <c r="N144" t="s">
        <v>91</v>
      </c>
      <c r="O144" t="s">
        <v>92</v>
      </c>
      <c r="P144" t="s">
        <v>93</v>
      </c>
      <c r="R144" t="s">
        <v>152</v>
      </c>
      <c r="S144" t="s">
        <v>153</v>
      </c>
      <c r="AB144"/>
      <c r="AC144"/>
      <c r="AD144"/>
    </row>
    <row r="145" spans="1:30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>
      <c r="A149" s="40" t="s">
        <v>183</v>
      </c>
      <c r="B149" s="39"/>
      <c r="C149" s="39"/>
      <c r="D149"/>
      <c r="AB149"/>
      <c r="AC149"/>
      <c r="AD149"/>
    </row>
    <row r="150" spans="1:30">
      <c r="A150" s="40"/>
      <c r="B150" s="39" t="s">
        <v>95</v>
      </c>
      <c r="C150" s="39" t="s">
        <v>96</v>
      </c>
      <c r="D150" t="s">
        <v>97</v>
      </c>
      <c r="E150" t="s">
        <v>98</v>
      </c>
      <c r="F150" t="s">
        <v>99</v>
      </c>
      <c r="G150" t="s">
        <v>65</v>
      </c>
      <c r="H150" t="s">
        <v>100</v>
      </c>
      <c r="I150" t="s">
        <v>86</v>
      </c>
      <c r="J150" t="s">
        <v>87</v>
      </c>
      <c r="K150" t="s">
        <v>88</v>
      </c>
      <c r="L150" t="s">
        <v>89</v>
      </c>
      <c r="M150" t="s">
        <v>90</v>
      </c>
      <c r="N150" t="s">
        <v>91</v>
      </c>
      <c r="O150" t="s">
        <v>92</v>
      </c>
      <c r="P150" t="s">
        <v>93</v>
      </c>
      <c r="AB150"/>
      <c r="AC150"/>
      <c r="AD150"/>
    </row>
    <row r="151" spans="1:30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 t="s">
        <v>95</v>
      </c>
      <c r="C154" s="39" t="s">
        <v>96</v>
      </c>
      <c r="D154" t="s">
        <v>97</v>
      </c>
      <c r="E154" t="s">
        <v>98</v>
      </c>
      <c r="F154" t="s">
        <v>99</v>
      </c>
      <c r="G154" t="s">
        <v>65</v>
      </c>
      <c r="H154" t="s">
        <v>100</v>
      </c>
      <c r="I154" t="s">
        <v>86</v>
      </c>
      <c r="J154" t="s">
        <v>87</v>
      </c>
      <c r="K154" t="s">
        <v>88</v>
      </c>
      <c r="L154" t="s">
        <v>89</v>
      </c>
      <c r="M154" t="s">
        <v>90</v>
      </c>
      <c r="N154" t="s">
        <v>91</v>
      </c>
      <c r="O154" t="s">
        <v>92</v>
      </c>
      <c r="P154" t="s">
        <v>93</v>
      </c>
      <c r="R154" t="s">
        <v>152</v>
      </c>
      <c r="S154" t="s">
        <v>153</v>
      </c>
      <c r="AB154"/>
      <c r="AC154"/>
      <c r="AD154"/>
    </row>
    <row r="155" spans="1:30">
      <c r="A155" s="40">
        <v>1</v>
      </c>
      <c r="B155" s="39">
        <v>0</v>
      </c>
      <c r="C155" s="39">
        <v>-1.1000000000000001</v>
      </c>
      <c r="D155">
        <v>5.9875914999999997</v>
      </c>
      <c r="E155">
        <v>8.6840310077519381E-5</v>
      </c>
      <c r="F155">
        <v>6.0124085000000003</v>
      </c>
      <c r="G155">
        <v>50000</v>
      </c>
      <c r="H155">
        <v>4.0146635160068627</v>
      </c>
      <c r="I155">
        <v>5</v>
      </c>
      <c r="J155">
        <v>600</v>
      </c>
      <c r="K155">
        <v>2.5000000000000001E-2</v>
      </c>
      <c r="L155">
        <v>1.25E-4</v>
      </c>
      <c r="M155">
        <v>468750000</v>
      </c>
      <c r="N155">
        <v>1628255.8139534884</v>
      </c>
      <c r="O155">
        <v>287.88473898450331</v>
      </c>
      <c r="P155">
        <v>8.6840310077519381E-5</v>
      </c>
      <c r="R155">
        <v>1450.017853317147</v>
      </c>
      <c r="S155">
        <v>24.166964221952451</v>
      </c>
      <c r="AB155"/>
      <c r="AC155"/>
      <c r="AD155"/>
    </row>
    <row r="156" spans="1:30">
      <c r="A156" s="40">
        <v>2</v>
      </c>
      <c r="B156" s="39">
        <v>1</v>
      </c>
      <c r="C156" s="39">
        <v>-1.1124805</v>
      </c>
      <c r="D156">
        <v>6</v>
      </c>
      <c r="E156">
        <v>8.6840310077519381E-5</v>
      </c>
      <c r="F156">
        <v>-1.0875195</v>
      </c>
      <c r="G156">
        <v>50000</v>
      </c>
      <c r="H156">
        <v>4.6769714740664501</v>
      </c>
      <c r="I156">
        <v>5</v>
      </c>
      <c r="J156">
        <v>600</v>
      </c>
      <c r="K156">
        <v>2.5000000000000001E-2</v>
      </c>
      <c r="L156">
        <v>1.25E-4</v>
      </c>
      <c r="M156">
        <v>468750000</v>
      </c>
      <c r="N156">
        <v>1628255.8139534884</v>
      </c>
      <c r="O156">
        <v>287.88473898450331</v>
      </c>
      <c r="P156">
        <v>8.6840310077519381E-5</v>
      </c>
      <c r="AB156"/>
      <c r="AC156"/>
      <c r="AD156"/>
    </row>
    <row r="157" spans="1:30">
      <c r="A157" s="40">
        <v>3</v>
      </c>
      <c r="B157" s="39">
        <v>0</v>
      </c>
      <c r="C157" s="39">
        <v>-0.8587999999999999</v>
      </c>
      <c r="D157">
        <v>5.9875914999999997</v>
      </c>
      <c r="E157">
        <v>8.6840310077519381E-5</v>
      </c>
      <c r="F157">
        <v>6.0124085000000003</v>
      </c>
      <c r="G157">
        <v>50000</v>
      </c>
      <c r="H157">
        <v>4.0146635160068627</v>
      </c>
      <c r="I157">
        <v>5</v>
      </c>
      <c r="J157">
        <v>600</v>
      </c>
      <c r="K157">
        <v>2.5000000000000001E-2</v>
      </c>
      <c r="L157">
        <v>1.25E-4</v>
      </c>
      <c r="M157">
        <v>468750000</v>
      </c>
      <c r="N157">
        <v>1628255.8139534884</v>
      </c>
      <c r="O157">
        <v>287.88473898450331</v>
      </c>
      <c r="P157">
        <v>8.6840310077519381E-5</v>
      </c>
      <c r="AB157"/>
      <c r="AC157"/>
      <c r="AD157"/>
    </row>
    <row r="158" spans="1:30">
      <c r="A158" s="40">
        <v>4</v>
      </c>
      <c r="B158" s="39">
        <v>1</v>
      </c>
      <c r="C158" s="39">
        <v>-0.8712804999999999</v>
      </c>
      <c r="D158">
        <v>6</v>
      </c>
      <c r="E158">
        <v>8.6840310077519381E-5</v>
      </c>
      <c r="F158">
        <v>-0.84631949999999989</v>
      </c>
      <c r="G158">
        <v>50000</v>
      </c>
      <c r="H158">
        <v>4.6769714740664501</v>
      </c>
      <c r="I158">
        <v>5</v>
      </c>
      <c r="J158">
        <v>600</v>
      </c>
      <c r="K158">
        <v>2.5000000000000001E-2</v>
      </c>
      <c r="L158">
        <v>1.25E-4</v>
      </c>
      <c r="M158">
        <v>468750000</v>
      </c>
      <c r="N158">
        <v>1628255.8139534884</v>
      </c>
      <c r="O158">
        <v>287.88473898450331</v>
      </c>
      <c r="P158">
        <v>8.6840310077519381E-5</v>
      </c>
      <c r="AB158"/>
      <c r="AC158"/>
      <c r="AD158"/>
    </row>
    <row r="159" spans="1:30">
      <c r="A159" s="40" t="s">
        <v>183</v>
      </c>
      <c r="B159" s="39"/>
      <c r="C159" s="39"/>
      <c r="D159"/>
      <c r="AB159"/>
      <c r="AC159"/>
      <c r="AD159"/>
    </row>
    <row r="160" spans="1:30">
      <c r="A160" s="40"/>
      <c r="B160" s="39" t="s">
        <v>95</v>
      </c>
      <c r="C160" s="39" t="s">
        <v>96</v>
      </c>
      <c r="D160" t="s">
        <v>97</v>
      </c>
      <c r="E160" t="s">
        <v>98</v>
      </c>
      <c r="F160" t="s">
        <v>99</v>
      </c>
      <c r="G160" t="s">
        <v>65</v>
      </c>
      <c r="H160" t="s">
        <v>100</v>
      </c>
      <c r="I160" t="s">
        <v>86</v>
      </c>
      <c r="J160" t="s">
        <v>87</v>
      </c>
      <c r="K160" t="s">
        <v>88</v>
      </c>
      <c r="L160" t="s">
        <v>89</v>
      </c>
      <c r="M160" t="s">
        <v>90</v>
      </c>
      <c r="N160" t="s">
        <v>91</v>
      </c>
      <c r="O160" t="s">
        <v>92</v>
      </c>
      <c r="P160" t="s">
        <v>93</v>
      </c>
      <c r="AB160"/>
      <c r="AC160"/>
      <c r="AD160"/>
    </row>
    <row r="161" spans="1:30">
      <c r="A161" s="40">
        <v>1</v>
      </c>
      <c r="B161" s="39">
        <v>1</v>
      </c>
      <c r="C161" s="39">
        <v>-1.0009999999999999</v>
      </c>
      <c r="D161">
        <v>5.9010000000000007</v>
      </c>
      <c r="E161">
        <v>2.8946770025839788E-4</v>
      </c>
      <c r="F161">
        <v>-0.95783899999999977</v>
      </c>
      <c r="G161">
        <v>50000</v>
      </c>
      <c r="H161">
        <v>1.2787152649668911</v>
      </c>
      <c r="I161">
        <v>1.5</v>
      </c>
      <c r="J161">
        <v>600</v>
      </c>
      <c r="K161">
        <v>4.3200000000000127E-2</v>
      </c>
      <c r="L161">
        <v>6.4800000000000193E-5</v>
      </c>
      <c r="M161">
        <v>243000000.00000075</v>
      </c>
      <c r="N161">
        <v>1628255.8139534884</v>
      </c>
      <c r="O161">
        <v>149.23944868956698</v>
      </c>
      <c r="P161">
        <v>2.8946770025839788E-4</v>
      </c>
      <c r="AB161"/>
      <c r="AC161"/>
      <c r="AD161"/>
    </row>
    <row r="162" spans="1:30">
      <c r="A162" s="40">
        <v>2</v>
      </c>
      <c r="B162" s="39">
        <v>1</v>
      </c>
      <c r="C162" s="39">
        <v>-1.0009999999999999</v>
      </c>
      <c r="D162">
        <v>5.908817</v>
      </c>
      <c r="E162">
        <v>2.8946770025839788E-4</v>
      </c>
      <c r="F162">
        <v>-0.95783899999999977</v>
      </c>
      <c r="G162">
        <v>50000</v>
      </c>
      <c r="H162">
        <v>1.2787152649668911</v>
      </c>
      <c r="I162">
        <v>1.5</v>
      </c>
      <c r="J162">
        <v>600</v>
      </c>
      <c r="K162">
        <v>4.3200000000000127E-2</v>
      </c>
      <c r="L162">
        <v>6.4800000000000193E-5</v>
      </c>
      <c r="M162">
        <v>243000000.00000075</v>
      </c>
      <c r="N162">
        <v>1628255.8139534884</v>
      </c>
      <c r="O162">
        <v>149.23944868956698</v>
      </c>
      <c r="P162">
        <v>2.8946770025839788E-4</v>
      </c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A307" s="40"/>
      <c r="B307" s="39"/>
      <c r="C307" s="39"/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  <c r="U396" s="40"/>
      <c r="V396" s="39"/>
      <c r="W396" s="39"/>
      <c r="AB396"/>
      <c r="AC396"/>
      <c r="AD396"/>
    </row>
    <row r="397" spans="4:30">
      <c r="D397"/>
    </row>
    <row r="398" spans="4:30">
      <c r="D398"/>
    </row>
    <row r="399" spans="4:30">
      <c r="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D450"/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spans="4:30">
      <c r="AB465"/>
      <c r="AC465"/>
      <c r="AD465"/>
    </row>
    <row r="466" spans="4:30">
      <c r="D466"/>
      <c r="AB466"/>
      <c r="AC466"/>
      <c r="AD466"/>
    </row>
    <row r="467" spans="4:30">
      <c r="D467"/>
      <c r="AB467"/>
      <c r="AC467"/>
      <c r="AD467"/>
    </row>
    <row r="468" spans="4:30">
      <c r="D468"/>
      <c r="AB468"/>
      <c r="AC468"/>
      <c r="AD468"/>
    </row>
    <row r="469" spans="4:30">
      <c r="D469"/>
      <c r="AB469"/>
      <c r="AC469"/>
      <c r="AD469"/>
    </row>
    <row r="470" spans="4:30">
      <c r="D470"/>
      <c r="AB470"/>
      <c r="AC470"/>
      <c r="AD470"/>
    </row>
    <row r="471" spans="4:30">
      <c r="D471"/>
      <c r="AB471"/>
      <c r="AC471"/>
      <c r="AD471"/>
    </row>
    <row r="472" spans="4:30">
      <c r="D472"/>
      <c r="AB472"/>
      <c r="AC472"/>
      <c r="AD472"/>
    </row>
    <row r="473" spans="4:30">
      <c r="D473"/>
      <c r="AB473"/>
      <c r="AC473"/>
      <c r="AD473"/>
    </row>
    <row r="474" spans="4:30">
      <c r="D474"/>
      <c r="AB474"/>
      <c r="AC474"/>
      <c r="AD474"/>
    </row>
    <row r="475" spans="4:30">
      <c r="D475"/>
      <c r="AB475"/>
      <c r="AC475"/>
      <c r="AD475"/>
    </row>
    <row r="476" spans="4:30">
      <c r="D476"/>
      <c r="AB476"/>
      <c r="AC476"/>
      <c r="AD476"/>
    </row>
    <row r="477" spans="4:30">
      <c r="D477"/>
      <c r="AB477"/>
      <c r="AC477"/>
      <c r="AD477"/>
    </row>
    <row r="478" spans="4:30">
      <c r="D478"/>
      <c r="AB478"/>
      <c r="AC478"/>
      <c r="AD478"/>
    </row>
    <row r="479" spans="4:30">
      <c r="D479"/>
      <c r="AB479"/>
      <c r="AC479"/>
      <c r="AD479"/>
    </row>
    <row r="480" spans="4:30">
      <c r="D480"/>
      <c r="AB480"/>
      <c r="AC480"/>
      <c r="AD480"/>
    </row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24"/>
  <sheetViews>
    <sheetView tabSelected="1" topLeftCell="C1" zoomScaleNormal="100" workbookViewId="0">
      <selection activeCell="L6" sqref="L6"/>
    </sheetView>
  </sheetViews>
  <sheetFormatPr defaultColWidth="9.140625" defaultRowHeight="1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>
      <c r="A1" s="218" t="s">
        <v>0</v>
      </c>
      <c r="B1" s="219"/>
      <c r="C1" s="227"/>
      <c r="D1" s="227"/>
      <c r="E1" s="219"/>
      <c r="F1" s="219"/>
      <c r="G1" s="219"/>
      <c r="H1" s="219"/>
      <c r="I1" s="219"/>
      <c r="J1" s="219"/>
      <c r="K1" s="219"/>
      <c r="L1" s="220"/>
    </row>
    <row r="2" spans="1:15" ht="45">
      <c r="A2" s="2" t="s">
        <v>1</v>
      </c>
      <c r="B2" s="14" t="s">
        <v>2</v>
      </c>
      <c r="C2" s="189" t="s">
        <v>3</v>
      </c>
      <c r="D2" s="189" t="s">
        <v>184</v>
      </c>
      <c r="E2" s="16" t="s">
        <v>185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5" ht="14.45">
      <c r="A3" s="94">
        <v>0</v>
      </c>
      <c r="B3" s="183">
        <v>17</v>
      </c>
      <c r="C3" s="183" t="s">
        <v>14</v>
      </c>
      <c r="D3" s="183">
        <v>1700</v>
      </c>
      <c r="E3" s="183">
        <f>D3</f>
        <v>1700</v>
      </c>
      <c r="F3" s="172">
        <v>4</v>
      </c>
      <c r="G3" s="99">
        <v>4</v>
      </c>
      <c r="H3" s="99">
        <v>5</v>
      </c>
      <c r="I3" s="100">
        <v>5</v>
      </c>
      <c r="J3" s="10">
        <f t="shared" ref="J3:J15" si="0">E3*0.16*6.38^2/(F3*G3*H3*I3*M3)</f>
        <v>18.452661333333332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</row>
    <row r="4" spans="1:15" ht="14.45">
      <c r="A4" s="185">
        <f>B4-$B$3</f>
        <v>0</v>
      </c>
      <c r="B4" s="183">
        <v>17</v>
      </c>
      <c r="C4" s="183" t="s">
        <v>17</v>
      </c>
      <c r="D4" s="183">
        <v>370</v>
      </c>
      <c r="E4" s="183">
        <f>E3</f>
        <v>1700</v>
      </c>
      <c r="F4" s="173">
        <f>F3</f>
        <v>4</v>
      </c>
      <c r="G4" s="102">
        <f t="shared" ref="G4:I4" si="3">G3</f>
        <v>4</v>
      </c>
      <c r="H4" s="102">
        <f t="shared" si="3"/>
        <v>5</v>
      </c>
      <c r="I4" s="103">
        <f t="shared" si="3"/>
        <v>5</v>
      </c>
      <c r="J4" s="10">
        <f t="shared" si="0"/>
        <v>18.452661333333332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/>
    </row>
    <row r="5" spans="1:15" ht="14.45">
      <c r="A5" s="90">
        <f>B5-$B$3</f>
        <v>0</v>
      </c>
      <c r="B5" s="173">
        <f>B4</f>
        <v>17</v>
      </c>
      <c r="C5" s="180" t="s">
        <v>17</v>
      </c>
      <c r="D5" s="180">
        <v>2000</v>
      </c>
      <c r="E5" s="175">
        <f>IFERROR(D5*E4/D4,0)</f>
        <v>9189.1891891891901</v>
      </c>
      <c r="F5" s="191">
        <v>4</v>
      </c>
      <c r="G5" s="92">
        <v>4</v>
      </c>
      <c r="H5" s="92">
        <v>15</v>
      </c>
      <c r="I5" s="93">
        <v>15</v>
      </c>
      <c r="J5" s="10">
        <f t="shared" si="0"/>
        <v>11.082679479479481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5" ht="14.45">
      <c r="A6" s="94">
        <f t="shared" ref="A6:A15" si="4">B6-$B$3</f>
        <v>9</v>
      </c>
      <c r="B6" s="172">
        <v>26</v>
      </c>
      <c r="C6" s="180" t="s">
        <v>17</v>
      </c>
      <c r="D6" s="180">
        <v>360</v>
      </c>
      <c r="E6" s="176">
        <f>E5</f>
        <v>9189.1891891891901</v>
      </c>
      <c r="F6" s="192">
        <f>F5</f>
        <v>4</v>
      </c>
      <c r="G6" s="96">
        <f t="shared" ref="G6:I6" si="5">G5</f>
        <v>4</v>
      </c>
      <c r="H6" s="96">
        <f t="shared" si="5"/>
        <v>15</v>
      </c>
      <c r="I6" s="97">
        <f t="shared" si="5"/>
        <v>15</v>
      </c>
      <c r="J6" s="10">
        <f t="shared" si="0"/>
        <v>11.082679479479481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5" ht="14.45">
      <c r="A7" s="90">
        <f t="shared" si="4"/>
        <v>9</v>
      </c>
      <c r="B7" s="173">
        <v>26</v>
      </c>
      <c r="C7" s="180" t="s">
        <v>17</v>
      </c>
      <c r="D7" s="180">
        <v>2800</v>
      </c>
      <c r="E7" s="175">
        <f>IFERROR(D7*E6/D6,0)</f>
        <v>71471.471471471479</v>
      </c>
      <c r="F7" s="99">
        <v>4</v>
      </c>
      <c r="G7" s="99">
        <v>4</v>
      </c>
      <c r="H7" s="99">
        <v>50</v>
      </c>
      <c r="I7" s="100">
        <v>50</v>
      </c>
      <c r="J7" s="10">
        <f t="shared" si="0"/>
        <v>7.7578756356356369</v>
      </c>
      <c r="K7" s="10">
        <f t="shared" si="1"/>
        <v>4.6674445740956818</v>
      </c>
      <c r="L7" s="10">
        <f t="shared" si="2"/>
        <v>30.76923076923077</v>
      </c>
      <c r="M7" s="12">
        <v>1.5</v>
      </c>
    </row>
    <row r="8" spans="1:15" ht="14.45">
      <c r="A8" s="94">
        <f t="shared" si="4"/>
        <v>14.5</v>
      </c>
      <c r="B8" s="172">
        <v>31.5</v>
      </c>
      <c r="C8" s="180" t="s">
        <v>17</v>
      </c>
      <c r="D8" s="180">
        <v>350</v>
      </c>
      <c r="E8" s="176">
        <f>E7</f>
        <v>71471.471471471479</v>
      </c>
      <c r="F8" s="173">
        <f>F7</f>
        <v>4</v>
      </c>
      <c r="G8" s="102">
        <f t="shared" ref="G8:I14" si="6">G7</f>
        <v>4</v>
      </c>
      <c r="H8" s="102">
        <f t="shared" si="6"/>
        <v>50</v>
      </c>
      <c r="I8" s="103">
        <f t="shared" si="6"/>
        <v>50</v>
      </c>
      <c r="J8" s="10">
        <f t="shared" si="0"/>
        <v>7.7578756356356369</v>
      </c>
      <c r="K8" s="10">
        <f t="shared" si="1"/>
        <v>4.6674445740956818</v>
      </c>
      <c r="L8" s="10">
        <f t="shared" si="2"/>
        <v>30.76923076923077</v>
      </c>
      <c r="M8" s="12">
        <v>1.5</v>
      </c>
    </row>
    <row r="9" spans="1:15" ht="14.45">
      <c r="A9" s="90">
        <f t="shared" si="4"/>
        <v>14.5</v>
      </c>
      <c r="B9" s="172">
        <v>31.5</v>
      </c>
      <c r="C9" s="180" t="s">
        <v>18</v>
      </c>
      <c r="D9" s="180">
        <v>2400</v>
      </c>
      <c r="E9" s="177">
        <f>IFERROR(D9*E8/D8,0)</f>
        <v>490090.09009009012</v>
      </c>
      <c r="F9" s="99">
        <v>10</v>
      </c>
      <c r="G9" s="99">
        <v>10</v>
      </c>
      <c r="H9" s="99">
        <v>50</v>
      </c>
      <c r="I9" s="100">
        <v>50</v>
      </c>
      <c r="J9" s="10">
        <f t="shared" si="0"/>
        <v>8.5114978402402421</v>
      </c>
      <c r="K9" s="10">
        <f t="shared" si="1"/>
        <v>11.668611435239207</v>
      </c>
      <c r="L9" s="10">
        <f t="shared" si="2"/>
        <v>76.923076923076934</v>
      </c>
      <c r="M9" s="12">
        <v>1.5</v>
      </c>
    </row>
    <row r="10" spans="1:15" ht="14.45">
      <c r="A10" s="94">
        <f t="shared" si="4"/>
        <v>21.5</v>
      </c>
      <c r="B10" s="172">
        <v>38.5</v>
      </c>
      <c r="C10" s="180" t="s">
        <v>18</v>
      </c>
      <c r="D10" s="180">
        <v>325</v>
      </c>
      <c r="E10" s="178">
        <f>E9</f>
        <v>490090.09009009012</v>
      </c>
      <c r="F10" s="173">
        <f>F9</f>
        <v>10</v>
      </c>
      <c r="G10" s="102">
        <f t="shared" si="6"/>
        <v>10</v>
      </c>
      <c r="H10" s="102">
        <f t="shared" si="6"/>
        <v>50</v>
      </c>
      <c r="I10" s="103">
        <f t="shared" si="6"/>
        <v>50</v>
      </c>
      <c r="J10" s="10">
        <f t="shared" si="0"/>
        <v>8.5114978402402421</v>
      </c>
      <c r="K10" s="10">
        <f t="shared" si="1"/>
        <v>11.668611435239207</v>
      </c>
      <c r="L10" s="10">
        <f t="shared" si="2"/>
        <v>76.923076923076934</v>
      </c>
      <c r="M10" s="12">
        <v>1.5</v>
      </c>
    </row>
    <row r="11" spans="1:15" ht="14.45">
      <c r="A11" s="90">
        <f t="shared" si="4"/>
        <v>21.5</v>
      </c>
      <c r="B11" s="172">
        <v>38.5</v>
      </c>
      <c r="C11" s="180" t="s">
        <v>17</v>
      </c>
      <c r="D11" s="180">
        <v>1900</v>
      </c>
      <c r="E11" s="177">
        <f>IFERROR(D11*E10/D10,0)</f>
        <v>2865142.0651420653</v>
      </c>
      <c r="F11" s="172">
        <v>20</v>
      </c>
      <c r="G11" s="99">
        <v>10</v>
      </c>
      <c r="H11" s="99">
        <v>90</v>
      </c>
      <c r="I11" s="100">
        <v>90</v>
      </c>
      <c r="J11" s="10">
        <f t="shared" si="0"/>
        <v>7.6789391721065794</v>
      </c>
      <c r="K11" s="10">
        <f t="shared" si="1"/>
        <v>23.337222870478413</v>
      </c>
      <c r="L11" s="10">
        <f t="shared" si="2"/>
        <v>76.923076923076934</v>
      </c>
      <c r="M11" s="12">
        <v>1.5</v>
      </c>
    </row>
    <row r="12" spans="1:15" ht="14.45">
      <c r="A12" s="94">
        <f t="shared" si="4"/>
        <v>19</v>
      </c>
      <c r="B12" s="172">
        <v>36</v>
      </c>
      <c r="C12" s="180" t="s">
        <v>22</v>
      </c>
      <c r="D12" s="180"/>
      <c r="E12" s="178">
        <f>E11</f>
        <v>2865142.0651420653</v>
      </c>
      <c r="F12" s="173">
        <f>F11</f>
        <v>20</v>
      </c>
      <c r="G12" s="102">
        <f t="shared" si="6"/>
        <v>10</v>
      </c>
      <c r="H12" s="102">
        <f t="shared" si="6"/>
        <v>90</v>
      </c>
      <c r="I12" s="103">
        <f t="shared" si="6"/>
        <v>90</v>
      </c>
      <c r="J12" s="10">
        <f t="shared" si="0"/>
        <v>7.6789391721065794</v>
      </c>
      <c r="K12" s="10">
        <f t="shared" si="1"/>
        <v>23.337222870478413</v>
      </c>
      <c r="L12" s="10">
        <f t="shared" si="2"/>
        <v>76.923076923076934</v>
      </c>
      <c r="M12" s="12">
        <v>1.5</v>
      </c>
    </row>
    <row r="13" spans="1:15" ht="14.45">
      <c r="A13" s="90">
        <f t="shared" si="4"/>
        <v>23</v>
      </c>
      <c r="B13" s="173">
        <v>40</v>
      </c>
      <c r="C13" s="180" t="s">
        <v>24</v>
      </c>
      <c r="D13" s="180">
        <v>0</v>
      </c>
      <c r="E13" s="177">
        <f>IFERROR(D13*E12/D12,0)</f>
        <v>0</v>
      </c>
      <c r="F13" s="172">
        <v>10</v>
      </c>
      <c r="G13" s="99">
        <v>30</v>
      </c>
      <c r="H13" s="99">
        <v>50</v>
      </c>
      <c r="I13" s="100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5" ht="14.45">
      <c r="A14" s="94">
        <f t="shared" si="4"/>
        <v>27</v>
      </c>
      <c r="B14" s="172">
        <v>44</v>
      </c>
      <c r="C14" s="180" t="s">
        <v>24</v>
      </c>
      <c r="D14" s="180">
        <v>0</v>
      </c>
      <c r="E14" s="178">
        <f>E13</f>
        <v>0</v>
      </c>
      <c r="F14" s="173">
        <f>F13</f>
        <v>10</v>
      </c>
      <c r="G14" s="102">
        <f t="shared" si="6"/>
        <v>30</v>
      </c>
      <c r="H14" s="102">
        <f t="shared" si="6"/>
        <v>50</v>
      </c>
      <c r="I14" s="103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5" thickBot="1">
      <c r="A15" s="90">
        <f t="shared" si="4"/>
        <v>27</v>
      </c>
      <c r="B15" s="173">
        <v>44</v>
      </c>
      <c r="C15" s="180" t="s">
        <v>24</v>
      </c>
      <c r="D15" s="180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>
      <c r="D16" s="9"/>
      <c r="I16" s="10"/>
      <c r="J16" s="10"/>
      <c r="K16" s="10"/>
    </row>
    <row r="17" spans="1:18" ht="15.75" thickBot="1">
      <c r="A17" s="228" t="s">
        <v>25</v>
      </c>
      <c r="B17" s="228"/>
      <c r="C17" s="228"/>
      <c r="D17" s="180" t="s">
        <v>15</v>
      </c>
      <c r="E17" s="180" t="s">
        <v>16</v>
      </c>
      <c r="F17" s="152" t="s">
        <v>156</v>
      </c>
      <c r="G17" s="224" t="s">
        <v>26</v>
      </c>
      <c r="H17" s="225"/>
      <c r="I17" s="132"/>
      <c r="J17" t="s">
        <v>160</v>
      </c>
      <c r="K17" s="54"/>
      <c r="L17" s="10"/>
      <c r="M17" s="10"/>
    </row>
    <row r="18" spans="1:18">
      <c r="A18" s="180"/>
      <c r="B18" s="180" t="s">
        <v>28</v>
      </c>
      <c r="C18" s="180" t="s">
        <v>29</v>
      </c>
      <c r="D18" s="201">
        <f>MAX(E3:E15)*1.6E-19</f>
        <v>4.5842273042273047E-13</v>
      </c>
      <c r="E18" s="202">
        <f>D18*1000000000</f>
        <v>4.5842273042273049E-4</v>
      </c>
      <c r="F18" s="202">
        <f>E18*2</f>
        <v>9.1684546084546098E-4</v>
      </c>
      <c r="G18" s="8" t="s">
        <v>30</v>
      </c>
      <c r="H18" s="194">
        <v>-1</v>
      </c>
      <c r="I18" s="126"/>
      <c r="J18" t="s">
        <v>161</v>
      </c>
      <c r="K18" s="10"/>
      <c r="L18" s="10"/>
      <c r="M18" s="10"/>
    </row>
    <row r="19" spans="1:18">
      <c r="A19" s="180" t="s">
        <v>32</v>
      </c>
      <c r="B19" s="154">
        <v>10</v>
      </c>
      <c r="C19" s="154">
        <v>10</v>
      </c>
      <c r="F19" s="9"/>
      <c r="G19" s="18" t="s">
        <v>33</v>
      </c>
      <c r="H19" s="193">
        <v>5.9</v>
      </c>
      <c r="I19" s="79"/>
      <c r="J19" t="s">
        <v>162</v>
      </c>
      <c r="K19" s="10"/>
      <c r="L19" s="10"/>
      <c r="M19" s="10"/>
    </row>
    <row r="20" spans="1:18" ht="15.75" thickBot="1">
      <c r="A20" s="180" t="s">
        <v>170</v>
      </c>
      <c r="B20" s="154">
        <v>39</v>
      </c>
      <c r="C20" s="154">
        <v>183</v>
      </c>
      <c r="F20" s="9"/>
      <c r="G20" s="19" t="s">
        <v>36</v>
      </c>
      <c r="H20" s="195">
        <v>-6.9390000000000001</v>
      </c>
      <c r="I20" s="133"/>
      <c r="J20" t="s">
        <v>163</v>
      </c>
      <c r="K20" s="10"/>
      <c r="L20" s="10"/>
      <c r="M20" s="10"/>
      <c r="P20" s="57"/>
      <c r="Q20" s="57"/>
      <c r="R20"/>
    </row>
    <row r="21" spans="1:18">
      <c r="A21" s="94" t="s">
        <v>35</v>
      </c>
      <c r="B21" s="204">
        <f>B20/1000</f>
        <v>3.9E-2</v>
      </c>
      <c r="C21" s="204">
        <f>C20/1000</f>
        <v>0.183</v>
      </c>
      <c r="I21" s="134"/>
      <c r="J21" t="s">
        <v>164</v>
      </c>
      <c r="N21"/>
      <c r="O21" s="27"/>
      <c r="P21" s="27"/>
    </row>
    <row r="22" spans="1:18">
      <c r="A22" s="228" t="s">
        <v>40</v>
      </c>
      <c r="B22" s="228"/>
      <c r="C22" s="228"/>
      <c r="D22" s="228"/>
      <c r="E22" s="228"/>
      <c r="F22" s="228"/>
      <c r="G22" s="180"/>
      <c r="H22" s="9"/>
      <c r="N22"/>
      <c r="O22"/>
      <c r="P22"/>
    </row>
    <row r="23" spans="1:18">
      <c r="A23" s="166" t="s">
        <v>42</v>
      </c>
      <c r="B23" s="166" t="s">
        <v>186</v>
      </c>
      <c r="C23" s="166" t="s">
        <v>187</v>
      </c>
    </row>
    <row r="24" spans="1:18">
      <c r="A24" s="166" t="s">
        <v>54</v>
      </c>
      <c r="B24" s="166">
        <v>512</v>
      </c>
      <c r="C24" s="166">
        <v>512</v>
      </c>
    </row>
    <row r="25" spans="1:18">
      <c r="A25" s="203" t="s">
        <v>188</v>
      </c>
      <c r="B25" s="196">
        <f t="shared" ref="B25:C25" si="7">MAX($E$3:$E$15)*2</f>
        <v>5730284.1302841306</v>
      </c>
      <c r="C25" s="196">
        <f t="shared" si="7"/>
        <v>5730284.1302841306</v>
      </c>
    </row>
    <row r="26" spans="1:18">
      <c r="A26" s="166" t="s">
        <v>62</v>
      </c>
      <c r="B26" s="214">
        <v>200</v>
      </c>
      <c r="C26" s="214">
        <v>200</v>
      </c>
    </row>
    <row r="27" spans="1:18">
      <c r="A27" s="180" t="s">
        <v>189</v>
      </c>
      <c r="B27" s="180">
        <f>$B$19/B24/1000</f>
        <v>1.953125E-5</v>
      </c>
      <c r="C27" s="180">
        <f>$B$19/C24/1000</f>
        <v>1.953125E-5</v>
      </c>
      <c r="E27" s="1">
        <f>B27*1000000</f>
        <v>19.53125</v>
      </c>
      <c r="F27" s="1">
        <f>C27*1000000</f>
        <v>19.53125</v>
      </c>
    </row>
    <row r="28" spans="1:18">
      <c r="A28" s="180" t="s">
        <v>190</v>
      </c>
      <c r="B28" s="180">
        <f>$C$19/B24/1000</f>
        <v>1.953125E-5</v>
      </c>
      <c r="C28" s="180">
        <f>$C$19/C24/1000</f>
        <v>1.953125E-5</v>
      </c>
      <c r="E28" s="1">
        <f>B28*1000000</f>
        <v>19.53125</v>
      </c>
      <c r="F28" s="1">
        <f>C28*1000000</f>
        <v>19.53125</v>
      </c>
    </row>
    <row r="29" spans="1:18">
      <c r="A29" s="1" t="s">
        <v>191</v>
      </c>
      <c r="B29" s="1">
        <f>B26*B27*B28/1000000000/1.6E-19</f>
        <v>476.83715820312506</v>
      </c>
      <c r="C29" s="1">
        <f>C26*C27*C28/1000000000/1.6E-19</f>
        <v>476.83715820312506</v>
      </c>
    </row>
    <row r="30" spans="1:18">
      <c r="A30" s="190" t="s">
        <v>192</v>
      </c>
      <c r="B30" s="211">
        <f>B25/B29</f>
        <v>12017.276824393624</v>
      </c>
      <c r="C30" s="211">
        <f>C25/C29</f>
        <v>12017.276824393624</v>
      </c>
    </row>
    <row r="31" spans="1:18">
      <c r="A31" s="180" t="s">
        <v>64</v>
      </c>
      <c r="B31" s="196">
        <f>1/B30</f>
        <v>8.3213527874311798E-5</v>
      </c>
      <c r="C31" s="196">
        <f t="shared" ref="C31" si="8">1/C30</f>
        <v>8.3213527874311798E-5</v>
      </c>
    </row>
    <row r="32" spans="1:18">
      <c r="A32" s="166" t="s">
        <v>66</v>
      </c>
      <c r="B32" s="166">
        <v>49660</v>
      </c>
      <c r="C32" s="166">
        <v>66560</v>
      </c>
    </row>
    <row r="33" spans="1:19">
      <c r="A33" s="166" t="s">
        <v>67</v>
      </c>
      <c r="B33" s="166">
        <v>12735</v>
      </c>
      <c r="C33" s="166">
        <v>1919</v>
      </c>
    </row>
    <row r="34" spans="1:19">
      <c r="A34" s="190" t="s">
        <v>68</v>
      </c>
      <c r="B34" s="197">
        <f t="shared" ref="B34" si="9">B31*(B32+B33)</f>
        <v>5.1921080717176844</v>
      </c>
      <c r="C34" s="197">
        <f>C31*(C32+C33)</f>
        <v>5.6983791753049973</v>
      </c>
    </row>
    <row r="35" spans="1:19">
      <c r="A35" s="180" t="s">
        <v>69</v>
      </c>
      <c r="B35" s="197">
        <f t="shared" ref="B35:C35" si="10">B34/60</f>
        <v>8.6535134528628072E-2</v>
      </c>
      <c r="C35" s="197">
        <f t="shared" si="10"/>
        <v>9.4972986255083283E-2</v>
      </c>
    </row>
    <row r="36" spans="1:19" ht="15.75" thickBot="1">
      <c r="B36" s="10"/>
      <c r="C36" s="10"/>
      <c r="D36" s="10"/>
      <c r="E36" s="10"/>
      <c r="F36" s="10"/>
      <c r="G36" s="10"/>
      <c r="K36" s="10"/>
      <c r="L36" s="10"/>
    </row>
    <row r="37" spans="1:19" ht="15" customHeight="1" thickBot="1">
      <c r="A37" s="226" t="s">
        <v>78</v>
      </c>
      <c r="B37" s="224"/>
      <c r="C37" s="224"/>
      <c r="D37" s="224"/>
      <c r="E37" s="224"/>
      <c r="F37" s="225"/>
      <c r="K37" s="10"/>
      <c r="M37" s="17"/>
      <c r="N37" s="1" t="s">
        <v>28</v>
      </c>
      <c r="O37" s="12" t="s">
        <v>29</v>
      </c>
      <c r="Q37" s="1" t="s">
        <v>193</v>
      </c>
      <c r="R37" s="1">
        <v>-2.5</v>
      </c>
      <c r="S37" s="1">
        <v>-3.2</v>
      </c>
    </row>
    <row r="38" spans="1:19">
      <c r="A38" s="198" t="s">
        <v>79</v>
      </c>
      <c r="B38" s="199" t="s">
        <v>80</v>
      </c>
      <c r="C38" s="199" t="s">
        <v>65</v>
      </c>
      <c r="D38" s="199" t="s">
        <v>81</v>
      </c>
      <c r="E38" s="199" t="s">
        <v>82</v>
      </c>
      <c r="F38" s="200" t="s">
        <v>83</v>
      </c>
      <c r="G38" s="1" t="s">
        <v>194</v>
      </c>
      <c r="H38" s="1" t="s">
        <v>195</v>
      </c>
      <c r="J38" s="27" t="s">
        <v>196</v>
      </c>
      <c r="K38" s="27" t="s">
        <v>153</v>
      </c>
      <c r="M38" s="18" t="s">
        <v>32</v>
      </c>
      <c r="N38" s="1">
        <v>15</v>
      </c>
      <c r="O38" s="12">
        <v>15</v>
      </c>
    </row>
    <row r="39" spans="1:19">
      <c r="A39" s="4">
        <f>$R$37</f>
        <v>-2.5</v>
      </c>
      <c r="B39" s="1">
        <f>$S$37</f>
        <v>-3.2</v>
      </c>
      <c r="C39" s="213">
        <f>B30</f>
        <v>12017.276824393624</v>
      </c>
      <c r="D39" s="1">
        <v>10</v>
      </c>
      <c r="E39" s="1">
        <v>10</v>
      </c>
      <c r="F39" s="12" t="s">
        <v>186</v>
      </c>
      <c r="G39" s="1">
        <v>200</v>
      </c>
      <c r="H39" s="62">
        <f>$B$35</f>
        <v>8.6535134528628072E-2</v>
      </c>
      <c r="J39" s="1">
        <f>1</f>
        <v>1</v>
      </c>
    </row>
    <row r="40" spans="1:19">
      <c r="A40" s="4">
        <f>A39</f>
        <v>-2.5</v>
      </c>
      <c r="B40" s="1">
        <f>B39</f>
        <v>-3.2</v>
      </c>
      <c r="C40" s="213">
        <f t="shared" ref="C40:F40" si="11">C39</f>
        <v>12017.276824393624</v>
      </c>
      <c r="D40" s="1">
        <f t="shared" si="11"/>
        <v>10</v>
      </c>
      <c r="E40" s="1">
        <f t="shared" si="11"/>
        <v>10</v>
      </c>
      <c r="F40" s="1" t="s">
        <v>187</v>
      </c>
      <c r="G40" s="1">
        <v>200</v>
      </c>
      <c r="H40" s="62">
        <f>$C$35</f>
        <v>9.4972986255083283E-2</v>
      </c>
      <c r="J40" s="1">
        <f>J39+1</f>
        <v>2</v>
      </c>
    </row>
    <row r="41" spans="1:19">
      <c r="A41" s="4">
        <f>A39</f>
        <v>-2.5</v>
      </c>
      <c r="B41" s="1">
        <f>B39+0.2</f>
        <v>-3</v>
      </c>
      <c r="C41" s="213">
        <f>C39*G39/G41</f>
        <v>12017.276824393624</v>
      </c>
      <c r="D41" s="1">
        <v>10</v>
      </c>
      <c r="E41" s="1">
        <v>10</v>
      </c>
      <c r="F41" s="12" t="s">
        <v>186</v>
      </c>
      <c r="G41" s="1">
        <v>200</v>
      </c>
      <c r="H41" s="62">
        <f>H39*G41/G39</f>
        <v>8.6535134528628072E-2</v>
      </c>
      <c r="J41" s="1">
        <f t="shared" ref="J41:J92" si="12">J40+1</f>
        <v>3</v>
      </c>
    </row>
    <row r="42" spans="1:19">
      <c r="A42" s="4">
        <f>A41</f>
        <v>-2.5</v>
      </c>
      <c r="B42" s="1">
        <f>B41</f>
        <v>-3</v>
      </c>
      <c r="C42" s="213">
        <f t="shared" ref="C42" si="13">C41</f>
        <v>12017.276824393624</v>
      </c>
      <c r="D42" s="1">
        <f t="shared" ref="D42" si="14">D41</f>
        <v>10</v>
      </c>
      <c r="E42" s="1">
        <f t="shared" ref="E42" si="15">E41</f>
        <v>10</v>
      </c>
      <c r="F42" s="1" t="s">
        <v>187</v>
      </c>
      <c r="G42" s="1">
        <v>200</v>
      </c>
      <c r="H42" s="62">
        <f t="shared" ref="H42:H56" si="16">H40*G42/G40</f>
        <v>9.4972986255083283E-2</v>
      </c>
      <c r="J42" s="1">
        <f t="shared" si="12"/>
        <v>4</v>
      </c>
    </row>
    <row r="43" spans="1:19">
      <c r="A43" s="4">
        <f>A41</f>
        <v>-2.5</v>
      </c>
      <c r="B43" s="1">
        <f>B41+0.2</f>
        <v>-2.8</v>
      </c>
      <c r="C43" s="213">
        <f>C41*G41/G43</f>
        <v>9613.8214595148984</v>
      </c>
      <c r="D43" s="1">
        <v>10</v>
      </c>
      <c r="E43" s="1">
        <v>10</v>
      </c>
      <c r="F43" s="12" t="s">
        <v>186</v>
      </c>
      <c r="G43" s="1">
        <v>250</v>
      </c>
      <c r="H43" s="62">
        <f t="shared" si="16"/>
        <v>0.1081689181607851</v>
      </c>
      <c r="J43" s="1">
        <f t="shared" si="12"/>
        <v>5</v>
      </c>
    </row>
    <row r="44" spans="1:19">
      <c r="A44" s="4">
        <f>A43</f>
        <v>-2.5</v>
      </c>
      <c r="B44" s="1">
        <f>B43</f>
        <v>-2.8</v>
      </c>
      <c r="C44" s="213">
        <f t="shared" ref="C44" si="17">C43</f>
        <v>9613.8214595148984</v>
      </c>
      <c r="D44" s="1">
        <f t="shared" ref="D44" si="18">D43</f>
        <v>10</v>
      </c>
      <c r="E44" s="1">
        <f t="shared" ref="E44" si="19">E43</f>
        <v>10</v>
      </c>
      <c r="F44" s="1" t="s">
        <v>187</v>
      </c>
      <c r="G44" s="1">
        <v>250</v>
      </c>
      <c r="H44" s="62">
        <f t="shared" si="16"/>
        <v>0.1187162328188541</v>
      </c>
      <c r="J44" s="1">
        <f t="shared" si="12"/>
        <v>6</v>
      </c>
    </row>
    <row r="45" spans="1:19">
      <c r="A45" s="4">
        <f>A43-0.2</f>
        <v>-2.7</v>
      </c>
      <c r="B45" s="1">
        <f>B39</f>
        <v>-3.2</v>
      </c>
      <c r="C45" s="213">
        <f>C43*G43/G45</f>
        <v>9613.8214595148984</v>
      </c>
      <c r="D45" s="1">
        <v>10</v>
      </c>
      <c r="E45" s="1">
        <v>10</v>
      </c>
      <c r="F45" s="12" t="s">
        <v>186</v>
      </c>
      <c r="G45" s="1">
        <v>250</v>
      </c>
      <c r="H45" s="62">
        <f t="shared" si="16"/>
        <v>0.1081689181607851</v>
      </c>
      <c r="J45" s="1">
        <f t="shared" si="12"/>
        <v>7</v>
      </c>
    </row>
    <row r="46" spans="1:19">
      <c r="A46" s="4">
        <f>A45</f>
        <v>-2.7</v>
      </c>
      <c r="B46" s="1">
        <f>B45</f>
        <v>-3.2</v>
      </c>
      <c r="C46" s="213">
        <f t="shared" ref="C46" si="20">C45</f>
        <v>9613.8214595148984</v>
      </c>
      <c r="D46" s="1">
        <f t="shared" ref="D46" si="21">D45</f>
        <v>10</v>
      </c>
      <c r="E46" s="1">
        <f t="shared" ref="E46" si="22">E45</f>
        <v>10</v>
      </c>
      <c r="F46" s="1" t="s">
        <v>187</v>
      </c>
      <c r="G46" s="1">
        <v>250</v>
      </c>
      <c r="H46" s="62">
        <f t="shared" si="16"/>
        <v>0.1187162328188541</v>
      </c>
      <c r="J46" s="1">
        <f t="shared" si="12"/>
        <v>8</v>
      </c>
    </row>
    <row r="47" spans="1:19">
      <c r="A47" s="4">
        <f>A45</f>
        <v>-2.7</v>
      </c>
      <c r="B47" s="1">
        <f>B41</f>
        <v>-3</v>
      </c>
      <c r="C47" s="213">
        <f>C45*G45/G47</f>
        <v>8011.5178829290826</v>
      </c>
      <c r="D47" s="1">
        <v>10</v>
      </c>
      <c r="E47" s="1">
        <v>10</v>
      </c>
      <c r="F47" s="12" t="s">
        <v>186</v>
      </c>
      <c r="G47" s="1">
        <v>300</v>
      </c>
      <c r="H47" s="62">
        <f t="shared" si="16"/>
        <v>0.12980270179294212</v>
      </c>
      <c r="J47" s="1">
        <f t="shared" si="12"/>
        <v>9</v>
      </c>
    </row>
    <row r="48" spans="1:19">
      <c r="A48" s="4">
        <f>A47</f>
        <v>-2.7</v>
      </c>
      <c r="B48" s="1">
        <f>B47</f>
        <v>-3</v>
      </c>
      <c r="C48" s="213">
        <f t="shared" ref="C48" si="23">C47</f>
        <v>8011.5178829290826</v>
      </c>
      <c r="D48" s="1">
        <f t="shared" ref="D48" si="24">D47</f>
        <v>10</v>
      </c>
      <c r="E48" s="1">
        <f t="shared" ref="E48" si="25">E47</f>
        <v>10</v>
      </c>
      <c r="F48" s="1" t="s">
        <v>187</v>
      </c>
      <c r="G48" s="1">
        <v>300</v>
      </c>
      <c r="H48" s="62">
        <f t="shared" si="16"/>
        <v>0.14245947938262493</v>
      </c>
      <c r="J48" s="1">
        <f t="shared" si="12"/>
        <v>10</v>
      </c>
    </row>
    <row r="49" spans="1:10">
      <c r="A49" s="4">
        <f>A47</f>
        <v>-2.7</v>
      </c>
      <c r="B49" s="1">
        <f>B43</f>
        <v>-2.8</v>
      </c>
      <c r="C49" s="213">
        <f>C47*G47/G49</f>
        <v>8011.5178829290826</v>
      </c>
      <c r="D49" s="1">
        <v>10</v>
      </c>
      <c r="E49" s="1">
        <v>10</v>
      </c>
      <c r="F49" s="12" t="s">
        <v>186</v>
      </c>
      <c r="G49" s="1">
        <v>300</v>
      </c>
      <c r="H49" s="62">
        <f t="shared" si="16"/>
        <v>0.12980270179294212</v>
      </c>
      <c r="J49" s="1">
        <f t="shared" si="12"/>
        <v>11</v>
      </c>
    </row>
    <row r="50" spans="1:10">
      <c r="A50" s="4">
        <f>A49</f>
        <v>-2.7</v>
      </c>
      <c r="B50" s="1">
        <f>B49</f>
        <v>-2.8</v>
      </c>
      <c r="C50" s="213">
        <f t="shared" ref="C50" si="26">C49</f>
        <v>8011.5178829290826</v>
      </c>
      <c r="D50" s="1">
        <f t="shared" ref="D50" si="27">D49</f>
        <v>10</v>
      </c>
      <c r="E50" s="1">
        <f t="shared" ref="E50" si="28">E49</f>
        <v>10</v>
      </c>
      <c r="F50" s="1" t="s">
        <v>187</v>
      </c>
      <c r="G50" s="1">
        <v>300</v>
      </c>
      <c r="H50" s="62">
        <f t="shared" si="16"/>
        <v>0.14245947938262493</v>
      </c>
      <c r="J50" s="1">
        <f t="shared" si="12"/>
        <v>12</v>
      </c>
    </row>
    <row r="51" spans="1:10">
      <c r="A51" s="4">
        <f>A49-0.2</f>
        <v>-2.9000000000000004</v>
      </c>
      <c r="B51" s="1">
        <f>B45</f>
        <v>-3.2</v>
      </c>
      <c r="C51" s="213">
        <f>C49*G49/G51</f>
        <v>6867.0153282249275</v>
      </c>
      <c r="D51" s="1">
        <v>10</v>
      </c>
      <c r="E51" s="1">
        <v>10</v>
      </c>
      <c r="F51" s="12" t="s">
        <v>186</v>
      </c>
      <c r="G51" s="1">
        <v>350</v>
      </c>
      <c r="H51" s="62">
        <f t="shared" si="16"/>
        <v>0.15143648542509916</v>
      </c>
      <c r="J51" s="1">
        <f t="shared" si="12"/>
        <v>13</v>
      </c>
    </row>
    <row r="52" spans="1:10">
      <c r="A52" s="4">
        <f>A51</f>
        <v>-2.9000000000000004</v>
      </c>
      <c r="B52" s="1">
        <f>B51</f>
        <v>-3.2</v>
      </c>
      <c r="C52" s="213">
        <f t="shared" ref="C52" si="29">C51</f>
        <v>6867.0153282249275</v>
      </c>
      <c r="D52" s="1">
        <f t="shared" ref="D52" si="30">D51</f>
        <v>10</v>
      </c>
      <c r="E52" s="1">
        <f t="shared" ref="E52" si="31">E51</f>
        <v>10</v>
      </c>
      <c r="F52" s="1" t="s">
        <v>187</v>
      </c>
      <c r="G52" s="1">
        <v>350</v>
      </c>
      <c r="H52" s="62">
        <f t="shared" si="16"/>
        <v>0.16620272594639576</v>
      </c>
      <c r="J52" s="1">
        <f t="shared" si="12"/>
        <v>14</v>
      </c>
    </row>
    <row r="53" spans="1:10">
      <c r="A53" s="4">
        <f>A51</f>
        <v>-2.9000000000000004</v>
      </c>
      <c r="B53" s="1">
        <f>B47</f>
        <v>-3</v>
      </c>
      <c r="C53" s="213">
        <f>C51*G51/G53</f>
        <v>6867.0153282249275</v>
      </c>
      <c r="D53" s="1">
        <v>10</v>
      </c>
      <c r="E53" s="1">
        <v>10</v>
      </c>
      <c r="F53" s="12" t="s">
        <v>186</v>
      </c>
      <c r="G53" s="1">
        <v>350</v>
      </c>
      <c r="H53" s="62">
        <f t="shared" si="16"/>
        <v>0.15143648542509916</v>
      </c>
      <c r="J53" s="1">
        <f t="shared" si="12"/>
        <v>15</v>
      </c>
    </row>
    <row r="54" spans="1:10">
      <c r="A54" s="4">
        <f>A53</f>
        <v>-2.9000000000000004</v>
      </c>
      <c r="B54" s="1">
        <f>B53</f>
        <v>-3</v>
      </c>
      <c r="C54" s="213">
        <f t="shared" ref="C54" si="32">C53</f>
        <v>6867.0153282249275</v>
      </c>
      <c r="D54" s="1">
        <f t="shared" ref="D54" si="33">D53</f>
        <v>10</v>
      </c>
      <c r="E54" s="1">
        <f t="shared" ref="E54" si="34">E53</f>
        <v>10</v>
      </c>
      <c r="F54" s="1" t="s">
        <v>187</v>
      </c>
      <c r="G54" s="1">
        <v>350</v>
      </c>
      <c r="H54" s="62">
        <f t="shared" si="16"/>
        <v>0.16620272594639576</v>
      </c>
      <c r="J54" s="1">
        <f t="shared" si="12"/>
        <v>16</v>
      </c>
    </row>
    <row r="55" spans="1:10">
      <c r="A55" s="4">
        <f>A53</f>
        <v>-2.9000000000000004</v>
      </c>
      <c r="B55" s="1">
        <f>B49</f>
        <v>-2.8</v>
      </c>
      <c r="C55" s="213">
        <f t="shared" ref="C55" si="35">C53*G53/G55</f>
        <v>6008.6384121968122</v>
      </c>
      <c r="D55" s="1">
        <v>10</v>
      </c>
      <c r="E55" s="1">
        <v>10</v>
      </c>
      <c r="F55" s="12" t="s">
        <v>186</v>
      </c>
      <c r="G55" s="1">
        <v>400</v>
      </c>
      <c r="H55" s="62">
        <f t="shared" si="16"/>
        <v>0.1730702690572562</v>
      </c>
      <c r="J55" s="1">
        <f t="shared" si="12"/>
        <v>17</v>
      </c>
    </row>
    <row r="56" spans="1:10">
      <c r="A56" s="4">
        <f>A55</f>
        <v>-2.9000000000000004</v>
      </c>
      <c r="B56" s="1">
        <f>B55</f>
        <v>-2.8</v>
      </c>
      <c r="C56" s="213">
        <f t="shared" ref="C56" si="36">C55</f>
        <v>6008.6384121968122</v>
      </c>
      <c r="D56" s="1">
        <f t="shared" ref="D56" si="37">D55</f>
        <v>10</v>
      </c>
      <c r="E56" s="1">
        <f t="shared" ref="E56" si="38">E55</f>
        <v>10</v>
      </c>
      <c r="F56" s="1" t="s">
        <v>187</v>
      </c>
      <c r="G56" s="1">
        <v>400</v>
      </c>
      <c r="H56" s="62">
        <f t="shared" si="16"/>
        <v>0.18994597251016659</v>
      </c>
      <c r="J56" s="1">
        <f t="shared" si="12"/>
        <v>18</v>
      </c>
    </row>
    <row r="57" spans="1:10">
      <c r="A57" s="4">
        <f>A39</f>
        <v>-2.5</v>
      </c>
      <c r="B57" s="1">
        <f>B39+3</f>
        <v>-0.20000000000000018</v>
      </c>
      <c r="C57" s="215">
        <f>C39</f>
        <v>12017.276824393624</v>
      </c>
      <c r="D57" s="1">
        <v>10</v>
      </c>
      <c r="E57" s="1">
        <v>10</v>
      </c>
      <c r="F57" s="12" t="s">
        <v>186</v>
      </c>
      <c r="G57" s="1">
        <v>200</v>
      </c>
      <c r="H57" s="62">
        <f>$B$35</f>
        <v>8.6535134528628072E-2</v>
      </c>
      <c r="I57" s="1" t="s">
        <v>197</v>
      </c>
      <c r="J57" s="1">
        <f t="shared" si="12"/>
        <v>19</v>
      </c>
    </row>
    <row r="58" spans="1:10">
      <c r="A58" s="4">
        <f>A57</f>
        <v>-2.5</v>
      </c>
      <c r="B58" s="1">
        <f>B57</f>
        <v>-0.20000000000000018</v>
      </c>
      <c r="C58" s="213">
        <f t="shared" ref="C58" si="39">C57</f>
        <v>12017.276824393624</v>
      </c>
      <c r="D58" s="1">
        <f t="shared" ref="D58" si="40">D57</f>
        <v>10</v>
      </c>
      <c r="E58" s="1">
        <f t="shared" ref="E58" si="41">E57</f>
        <v>10</v>
      </c>
      <c r="F58" s="1" t="s">
        <v>187</v>
      </c>
      <c r="G58" s="1">
        <v>200</v>
      </c>
      <c r="H58" s="62">
        <f>$C$35</f>
        <v>9.4972986255083283E-2</v>
      </c>
      <c r="J58" s="1">
        <f t="shared" si="12"/>
        <v>20</v>
      </c>
    </row>
    <row r="59" spans="1:10">
      <c r="A59" s="4">
        <f>A57</f>
        <v>-2.5</v>
      </c>
      <c r="B59" s="1">
        <f>B57+0.2</f>
        <v>0</v>
      </c>
      <c r="C59" s="213">
        <f>C57*G57/G59</f>
        <v>12017.276824393624</v>
      </c>
      <c r="D59" s="1">
        <v>10</v>
      </c>
      <c r="E59" s="1">
        <v>10</v>
      </c>
      <c r="F59" s="12" t="s">
        <v>186</v>
      </c>
      <c r="G59" s="1">
        <v>200</v>
      </c>
      <c r="H59" s="62">
        <f>H57*G59/G57</f>
        <v>8.6535134528628072E-2</v>
      </c>
      <c r="J59" s="1">
        <f t="shared" si="12"/>
        <v>21</v>
      </c>
    </row>
    <row r="60" spans="1:10">
      <c r="A60" s="4">
        <f>A59</f>
        <v>-2.5</v>
      </c>
      <c r="B60" s="1">
        <f>B59</f>
        <v>0</v>
      </c>
      <c r="C60" s="213">
        <f t="shared" ref="C60" si="42">C59</f>
        <v>12017.276824393624</v>
      </c>
      <c r="D60" s="1">
        <f t="shared" ref="D60" si="43">D59</f>
        <v>10</v>
      </c>
      <c r="E60" s="1">
        <f t="shared" ref="E60" si="44">E59</f>
        <v>10</v>
      </c>
      <c r="F60" s="1" t="s">
        <v>187</v>
      </c>
      <c r="G60" s="1">
        <v>200</v>
      </c>
      <c r="H60" s="62">
        <f t="shared" ref="H60:H74" si="45">H58*G60/G58</f>
        <v>9.4972986255083283E-2</v>
      </c>
      <c r="J60" s="1">
        <f t="shared" si="12"/>
        <v>22</v>
      </c>
    </row>
    <row r="61" spans="1:10">
      <c r="A61" s="4">
        <f>A59</f>
        <v>-2.5</v>
      </c>
      <c r="B61" s="1">
        <f>B59+0.2</f>
        <v>0.2</v>
      </c>
      <c r="C61" s="213">
        <f>C59*G59/G61</f>
        <v>9613.8214595148984</v>
      </c>
      <c r="D61" s="1">
        <v>10</v>
      </c>
      <c r="E61" s="1">
        <v>10</v>
      </c>
      <c r="F61" s="12" t="s">
        <v>186</v>
      </c>
      <c r="G61" s="1">
        <v>250</v>
      </c>
      <c r="H61" s="62">
        <f t="shared" si="45"/>
        <v>0.1081689181607851</v>
      </c>
      <c r="J61" s="1">
        <f t="shared" si="12"/>
        <v>23</v>
      </c>
    </row>
    <row r="62" spans="1:10">
      <c r="A62" s="4">
        <f>A61</f>
        <v>-2.5</v>
      </c>
      <c r="B62" s="1">
        <f>B61</f>
        <v>0.2</v>
      </c>
      <c r="C62" s="213">
        <f t="shared" ref="C62" si="46">C61</f>
        <v>9613.8214595148984</v>
      </c>
      <c r="D62" s="1">
        <f t="shared" ref="D62" si="47">D61</f>
        <v>10</v>
      </c>
      <c r="E62" s="1">
        <f t="shared" ref="E62" si="48">E61</f>
        <v>10</v>
      </c>
      <c r="F62" s="1" t="s">
        <v>187</v>
      </c>
      <c r="G62" s="1">
        <v>250</v>
      </c>
      <c r="H62" s="62">
        <f t="shared" si="45"/>
        <v>0.1187162328188541</v>
      </c>
      <c r="J62" s="1">
        <f t="shared" si="12"/>
        <v>24</v>
      </c>
    </row>
    <row r="63" spans="1:10">
      <c r="A63" s="4">
        <f>A61-0.2</f>
        <v>-2.7</v>
      </c>
      <c r="B63" s="1">
        <f>B57</f>
        <v>-0.20000000000000018</v>
      </c>
      <c r="C63" s="213">
        <f>C61*G61/G63</f>
        <v>9613.8214595148984</v>
      </c>
      <c r="D63" s="1">
        <v>10</v>
      </c>
      <c r="E63" s="1">
        <v>10</v>
      </c>
      <c r="F63" s="12" t="s">
        <v>186</v>
      </c>
      <c r="G63" s="1">
        <v>250</v>
      </c>
      <c r="H63" s="62">
        <f t="shared" si="45"/>
        <v>0.1081689181607851</v>
      </c>
      <c r="J63" s="1">
        <f t="shared" si="12"/>
        <v>25</v>
      </c>
    </row>
    <row r="64" spans="1:10">
      <c r="A64" s="4">
        <f>A63</f>
        <v>-2.7</v>
      </c>
      <c r="B64" s="1">
        <f>B63</f>
        <v>-0.20000000000000018</v>
      </c>
      <c r="C64" s="213">
        <f t="shared" ref="C64" si="49">C63</f>
        <v>9613.8214595148984</v>
      </c>
      <c r="D64" s="1">
        <f t="shared" ref="D64" si="50">D63</f>
        <v>10</v>
      </c>
      <c r="E64" s="1">
        <f t="shared" ref="E64" si="51">E63</f>
        <v>10</v>
      </c>
      <c r="F64" s="1" t="s">
        <v>187</v>
      </c>
      <c r="G64" s="1">
        <v>250</v>
      </c>
      <c r="H64" s="62">
        <f t="shared" si="45"/>
        <v>0.1187162328188541</v>
      </c>
      <c r="J64" s="1">
        <f t="shared" si="12"/>
        <v>26</v>
      </c>
    </row>
    <row r="65" spans="1:10">
      <c r="A65" s="4">
        <f>A63</f>
        <v>-2.7</v>
      </c>
      <c r="B65" s="1">
        <f>B59</f>
        <v>0</v>
      </c>
      <c r="C65" s="213">
        <f>C63*G63/G65</f>
        <v>8011.5178829290826</v>
      </c>
      <c r="D65" s="1">
        <v>10</v>
      </c>
      <c r="E65" s="1">
        <v>10</v>
      </c>
      <c r="F65" s="12" t="s">
        <v>186</v>
      </c>
      <c r="G65" s="1">
        <v>300</v>
      </c>
      <c r="H65" s="62">
        <f t="shared" si="45"/>
        <v>0.12980270179294212</v>
      </c>
      <c r="J65" s="1">
        <f t="shared" si="12"/>
        <v>27</v>
      </c>
    </row>
    <row r="66" spans="1:10">
      <c r="A66" s="4">
        <f>A65</f>
        <v>-2.7</v>
      </c>
      <c r="B66" s="1">
        <f>B65</f>
        <v>0</v>
      </c>
      <c r="C66" s="213">
        <f t="shared" ref="C66" si="52">C65</f>
        <v>8011.5178829290826</v>
      </c>
      <c r="D66" s="1">
        <f t="shared" ref="D66" si="53">D65</f>
        <v>10</v>
      </c>
      <c r="E66" s="1">
        <f t="shared" ref="E66" si="54">E65</f>
        <v>10</v>
      </c>
      <c r="F66" s="1" t="s">
        <v>187</v>
      </c>
      <c r="G66" s="1">
        <v>300</v>
      </c>
      <c r="H66" s="62">
        <f t="shared" si="45"/>
        <v>0.14245947938262493</v>
      </c>
      <c r="J66" s="1">
        <f t="shared" si="12"/>
        <v>28</v>
      </c>
    </row>
    <row r="67" spans="1:10">
      <c r="A67" s="4">
        <f>A65</f>
        <v>-2.7</v>
      </c>
      <c r="B67" s="1">
        <f>B61</f>
        <v>0.2</v>
      </c>
      <c r="C67" s="213">
        <f>C65*G65/G67</f>
        <v>8011.5178829290826</v>
      </c>
      <c r="D67" s="1">
        <v>10</v>
      </c>
      <c r="E67" s="1">
        <v>10</v>
      </c>
      <c r="F67" s="12" t="s">
        <v>186</v>
      </c>
      <c r="G67" s="1">
        <v>300</v>
      </c>
      <c r="H67" s="62">
        <f t="shared" si="45"/>
        <v>0.12980270179294212</v>
      </c>
      <c r="J67" s="1">
        <f t="shared" si="12"/>
        <v>29</v>
      </c>
    </row>
    <row r="68" spans="1:10">
      <c r="A68" s="4">
        <f>A67</f>
        <v>-2.7</v>
      </c>
      <c r="B68" s="1">
        <f>B67</f>
        <v>0.2</v>
      </c>
      <c r="C68" s="213">
        <f t="shared" ref="C68" si="55">C67</f>
        <v>8011.5178829290826</v>
      </c>
      <c r="D68" s="1">
        <f t="shared" ref="D68" si="56">D67</f>
        <v>10</v>
      </c>
      <c r="E68" s="1">
        <f t="shared" ref="E68" si="57">E67</f>
        <v>10</v>
      </c>
      <c r="F68" s="1" t="s">
        <v>187</v>
      </c>
      <c r="G68" s="1">
        <v>300</v>
      </c>
      <c r="H68" s="62">
        <f t="shared" si="45"/>
        <v>0.14245947938262493</v>
      </c>
      <c r="J68" s="1">
        <f t="shared" si="12"/>
        <v>30</v>
      </c>
    </row>
    <row r="69" spans="1:10">
      <c r="A69" s="4">
        <f>A67-0.2</f>
        <v>-2.9000000000000004</v>
      </c>
      <c r="B69" s="1">
        <f>B63</f>
        <v>-0.20000000000000018</v>
      </c>
      <c r="C69" s="213">
        <f>C67*G67/G69</f>
        <v>6867.0153282249275</v>
      </c>
      <c r="D69" s="1">
        <v>10</v>
      </c>
      <c r="E69" s="1">
        <v>10</v>
      </c>
      <c r="F69" s="12" t="s">
        <v>186</v>
      </c>
      <c r="G69" s="1">
        <v>350</v>
      </c>
      <c r="H69" s="62">
        <f t="shared" si="45"/>
        <v>0.15143648542509916</v>
      </c>
      <c r="J69" s="1">
        <f t="shared" si="12"/>
        <v>31</v>
      </c>
    </row>
    <row r="70" spans="1:10">
      <c r="A70" s="4">
        <f>A69</f>
        <v>-2.9000000000000004</v>
      </c>
      <c r="B70" s="1">
        <f>B69</f>
        <v>-0.20000000000000018</v>
      </c>
      <c r="C70" s="213">
        <f t="shared" ref="C70" si="58">C69</f>
        <v>6867.0153282249275</v>
      </c>
      <c r="D70" s="1">
        <f t="shared" ref="D70" si="59">D69</f>
        <v>10</v>
      </c>
      <c r="E70" s="1">
        <f t="shared" ref="E70" si="60">E69</f>
        <v>10</v>
      </c>
      <c r="F70" s="1" t="s">
        <v>187</v>
      </c>
      <c r="G70" s="1">
        <v>350</v>
      </c>
      <c r="H70" s="62">
        <f t="shared" si="45"/>
        <v>0.16620272594639576</v>
      </c>
      <c r="J70" s="1">
        <f t="shared" si="12"/>
        <v>32</v>
      </c>
    </row>
    <row r="71" spans="1:10">
      <c r="A71" s="4">
        <f>A69</f>
        <v>-2.9000000000000004</v>
      </c>
      <c r="B71" s="1">
        <f>B65</f>
        <v>0</v>
      </c>
      <c r="C71" s="213">
        <f>C69*G69/G71</f>
        <v>6867.0153282249275</v>
      </c>
      <c r="D71" s="1">
        <v>10</v>
      </c>
      <c r="E71" s="1">
        <v>10</v>
      </c>
      <c r="F71" s="12" t="s">
        <v>186</v>
      </c>
      <c r="G71" s="1">
        <v>350</v>
      </c>
      <c r="H71" s="62">
        <f t="shared" si="45"/>
        <v>0.15143648542509916</v>
      </c>
      <c r="J71" s="1">
        <f t="shared" si="12"/>
        <v>33</v>
      </c>
    </row>
    <row r="72" spans="1:10">
      <c r="A72" s="4">
        <f>A71</f>
        <v>-2.9000000000000004</v>
      </c>
      <c r="B72" s="1">
        <f>B71</f>
        <v>0</v>
      </c>
      <c r="C72" s="213">
        <f t="shared" ref="C72" si="61">C71</f>
        <v>6867.0153282249275</v>
      </c>
      <c r="D72" s="1">
        <f t="shared" ref="D72" si="62">D71</f>
        <v>10</v>
      </c>
      <c r="E72" s="1">
        <f t="shared" ref="E72" si="63">E71</f>
        <v>10</v>
      </c>
      <c r="F72" s="1" t="s">
        <v>187</v>
      </c>
      <c r="G72" s="1">
        <v>350</v>
      </c>
      <c r="H72" s="62">
        <f t="shared" si="45"/>
        <v>0.16620272594639576</v>
      </c>
      <c r="J72" s="1">
        <f t="shared" si="12"/>
        <v>34</v>
      </c>
    </row>
    <row r="73" spans="1:10">
      <c r="A73" s="4">
        <f>A71</f>
        <v>-2.9000000000000004</v>
      </c>
      <c r="B73" s="1">
        <f>B67</f>
        <v>0.2</v>
      </c>
      <c r="C73" s="213">
        <f t="shared" ref="C73" si="64">C71*G71/G73</f>
        <v>6008.6384121968122</v>
      </c>
      <c r="D73" s="1">
        <v>10</v>
      </c>
      <c r="E73" s="1">
        <v>10</v>
      </c>
      <c r="F73" s="12" t="s">
        <v>186</v>
      </c>
      <c r="G73" s="1">
        <v>400</v>
      </c>
      <c r="H73" s="62">
        <f t="shared" si="45"/>
        <v>0.1730702690572562</v>
      </c>
      <c r="J73" s="1">
        <f t="shared" si="12"/>
        <v>35</v>
      </c>
    </row>
    <row r="74" spans="1:10">
      <c r="A74" s="4">
        <f>A73</f>
        <v>-2.9000000000000004</v>
      </c>
      <c r="B74" s="1">
        <f>B73</f>
        <v>0.2</v>
      </c>
      <c r="C74" s="213">
        <f t="shared" ref="C74" si="65">C73</f>
        <v>6008.6384121968122</v>
      </c>
      <c r="D74" s="1">
        <f t="shared" ref="D74" si="66">D73</f>
        <v>10</v>
      </c>
      <c r="E74" s="1">
        <f t="shared" ref="E74" si="67">E73</f>
        <v>10</v>
      </c>
      <c r="F74" s="1" t="s">
        <v>187</v>
      </c>
      <c r="G74" s="1">
        <v>400</v>
      </c>
      <c r="H74" s="62">
        <f t="shared" si="45"/>
        <v>0.18994597251016659</v>
      </c>
      <c r="J74" s="1">
        <f t="shared" si="12"/>
        <v>36</v>
      </c>
    </row>
    <row r="75" spans="1:10">
      <c r="A75" s="4">
        <f>A57</f>
        <v>-2.5</v>
      </c>
      <c r="B75" s="1">
        <f>B57+3</f>
        <v>2.8</v>
      </c>
      <c r="C75" s="215">
        <f>C57</f>
        <v>12017.276824393624</v>
      </c>
      <c r="D75" s="1">
        <v>10</v>
      </c>
      <c r="E75" s="1">
        <v>10</v>
      </c>
      <c r="F75" s="12" t="s">
        <v>186</v>
      </c>
      <c r="G75" s="1">
        <v>200</v>
      </c>
      <c r="H75" s="62">
        <f>$B$35</f>
        <v>8.6535134528628072E-2</v>
      </c>
      <c r="I75" s="1" t="s">
        <v>198</v>
      </c>
      <c r="J75" s="1">
        <f t="shared" si="12"/>
        <v>37</v>
      </c>
    </row>
    <row r="76" spans="1:10">
      <c r="A76" s="4">
        <f>A75</f>
        <v>-2.5</v>
      </c>
      <c r="B76" s="1">
        <f>B75</f>
        <v>2.8</v>
      </c>
      <c r="C76" s="213">
        <f t="shared" ref="C76" si="68">C75</f>
        <v>12017.276824393624</v>
      </c>
      <c r="D76" s="1">
        <f t="shared" ref="D76" si="69">D75</f>
        <v>10</v>
      </c>
      <c r="E76" s="1">
        <f t="shared" ref="E76" si="70">E75</f>
        <v>10</v>
      </c>
      <c r="F76" s="1" t="s">
        <v>187</v>
      </c>
      <c r="G76" s="1">
        <v>200</v>
      </c>
      <c r="H76" s="62">
        <f>$C$35</f>
        <v>9.4972986255083283E-2</v>
      </c>
      <c r="J76" s="1">
        <f t="shared" si="12"/>
        <v>38</v>
      </c>
    </row>
    <row r="77" spans="1:10">
      <c r="A77" s="4">
        <f>A75</f>
        <v>-2.5</v>
      </c>
      <c r="B77" s="1">
        <f>B75+0.2</f>
        <v>3</v>
      </c>
      <c r="C77" s="213">
        <f>C75*G75/G77</f>
        <v>12017.276824393624</v>
      </c>
      <c r="D77" s="1">
        <v>10</v>
      </c>
      <c r="E77" s="1">
        <v>10</v>
      </c>
      <c r="F77" s="12" t="s">
        <v>186</v>
      </c>
      <c r="G77" s="1">
        <v>200</v>
      </c>
      <c r="H77" s="62">
        <f>H75*G77/G75</f>
        <v>8.6535134528628072E-2</v>
      </c>
      <c r="J77" s="1">
        <f t="shared" si="12"/>
        <v>39</v>
      </c>
    </row>
    <row r="78" spans="1:10">
      <c r="A78" s="4">
        <f>A77</f>
        <v>-2.5</v>
      </c>
      <c r="B78" s="1">
        <f>B77</f>
        <v>3</v>
      </c>
      <c r="C78" s="213">
        <f t="shared" ref="C78" si="71">C77</f>
        <v>12017.276824393624</v>
      </c>
      <c r="D78" s="1">
        <f t="shared" ref="D78" si="72">D77</f>
        <v>10</v>
      </c>
      <c r="E78" s="1">
        <f t="shared" ref="E78" si="73">E77</f>
        <v>10</v>
      </c>
      <c r="F78" s="1" t="s">
        <v>187</v>
      </c>
      <c r="G78" s="1">
        <v>200</v>
      </c>
      <c r="H78" s="62">
        <f t="shared" ref="H78:H92" si="74">H76*G78/G76</f>
        <v>9.4972986255083283E-2</v>
      </c>
      <c r="J78" s="1">
        <f t="shared" si="12"/>
        <v>40</v>
      </c>
    </row>
    <row r="79" spans="1:10">
      <c r="A79" s="4">
        <f>A77</f>
        <v>-2.5</v>
      </c>
      <c r="B79" s="1">
        <f>B77+0.2</f>
        <v>3.2</v>
      </c>
      <c r="C79" s="213">
        <f>C77*G77/G79</f>
        <v>9613.8214595148984</v>
      </c>
      <c r="D79" s="1">
        <v>10</v>
      </c>
      <c r="E79" s="1">
        <v>10</v>
      </c>
      <c r="F79" s="12" t="s">
        <v>186</v>
      </c>
      <c r="G79" s="1">
        <v>250</v>
      </c>
      <c r="H79" s="62">
        <f t="shared" si="74"/>
        <v>0.1081689181607851</v>
      </c>
      <c r="J79" s="1">
        <f t="shared" si="12"/>
        <v>41</v>
      </c>
    </row>
    <row r="80" spans="1:10">
      <c r="A80" s="4">
        <f>A79</f>
        <v>-2.5</v>
      </c>
      <c r="B80" s="1">
        <f>B79</f>
        <v>3.2</v>
      </c>
      <c r="C80" s="213">
        <f t="shared" ref="C80" si="75">C79</f>
        <v>9613.8214595148984</v>
      </c>
      <c r="D80" s="1">
        <f t="shared" ref="D80" si="76">D79</f>
        <v>10</v>
      </c>
      <c r="E80" s="1">
        <f t="shared" ref="E80" si="77">E79</f>
        <v>10</v>
      </c>
      <c r="F80" s="1" t="s">
        <v>187</v>
      </c>
      <c r="G80" s="1">
        <v>250</v>
      </c>
      <c r="H80" s="62">
        <f t="shared" si="74"/>
        <v>0.1187162328188541</v>
      </c>
      <c r="J80" s="1">
        <f t="shared" si="12"/>
        <v>42</v>
      </c>
    </row>
    <row r="81" spans="1:10">
      <c r="A81" s="4">
        <f>A79-0.2</f>
        <v>-2.7</v>
      </c>
      <c r="B81" s="1">
        <f>B75</f>
        <v>2.8</v>
      </c>
      <c r="C81" s="213">
        <f>C79*G79/G81</f>
        <v>9613.8214595148984</v>
      </c>
      <c r="D81" s="1">
        <v>10</v>
      </c>
      <c r="E81" s="1">
        <v>10</v>
      </c>
      <c r="F81" s="12" t="s">
        <v>186</v>
      </c>
      <c r="G81" s="1">
        <v>250</v>
      </c>
      <c r="H81" s="62">
        <f t="shared" si="74"/>
        <v>0.1081689181607851</v>
      </c>
      <c r="J81" s="1">
        <f t="shared" si="12"/>
        <v>43</v>
      </c>
    </row>
    <row r="82" spans="1:10">
      <c r="A82" s="4">
        <f>A81</f>
        <v>-2.7</v>
      </c>
      <c r="B82" s="1">
        <f>B81</f>
        <v>2.8</v>
      </c>
      <c r="C82" s="213">
        <f t="shared" ref="C82" si="78">C81</f>
        <v>9613.8214595148984</v>
      </c>
      <c r="D82" s="1">
        <f t="shared" ref="D82" si="79">D81</f>
        <v>10</v>
      </c>
      <c r="E82" s="1">
        <f t="shared" ref="E82" si="80">E81</f>
        <v>10</v>
      </c>
      <c r="F82" s="1" t="s">
        <v>187</v>
      </c>
      <c r="G82" s="1">
        <v>250</v>
      </c>
      <c r="H82" s="62">
        <f t="shared" si="74"/>
        <v>0.1187162328188541</v>
      </c>
      <c r="J82" s="1">
        <f t="shared" si="12"/>
        <v>44</v>
      </c>
    </row>
    <row r="83" spans="1:10">
      <c r="A83" s="4">
        <f>A81</f>
        <v>-2.7</v>
      </c>
      <c r="B83" s="1">
        <f>B77</f>
        <v>3</v>
      </c>
      <c r="C83" s="213">
        <f>C81*G81/G83</f>
        <v>8011.5178829290826</v>
      </c>
      <c r="D83" s="1">
        <v>10</v>
      </c>
      <c r="E83" s="1">
        <v>10</v>
      </c>
      <c r="F83" s="12" t="s">
        <v>186</v>
      </c>
      <c r="G83" s="1">
        <v>300</v>
      </c>
      <c r="H83" s="62">
        <f t="shared" si="74"/>
        <v>0.12980270179294212</v>
      </c>
      <c r="J83" s="1">
        <f t="shared" si="12"/>
        <v>45</v>
      </c>
    </row>
    <row r="84" spans="1:10">
      <c r="A84" s="4">
        <f>A83</f>
        <v>-2.7</v>
      </c>
      <c r="B84" s="1">
        <f>B83</f>
        <v>3</v>
      </c>
      <c r="C84" s="213">
        <f t="shared" ref="C84" si="81">C83</f>
        <v>8011.5178829290826</v>
      </c>
      <c r="D84" s="1">
        <f t="shared" ref="D84" si="82">D83</f>
        <v>10</v>
      </c>
      <c r="E84" s="1">
        <f t="shared" ref="E84" si="83">E83</f>
        <v>10</v>
      </c>
      <c r="F84" s="1" t="s">
        <v>187</v>
      </c>
      <c r="G84" s="1">
        <v>300</v>
      </c>
      <c r="H84" s="62">
        <f t="shared" si="74"/>
        <v>0.14245947938262493</v>
      </c>
      <c r="J84" s="1">
        <f t="shared" si="12"/>
        <v>46</v>
      </c>
    </row>
    <row r="85" spans="1:10">
      <c r="A85" s="4">
        <f>A83</f>
        <v>-2.7</v>
      </c>
      <c r="B85" s="1">
        <f>B79</f>
        <v>3.2</v>
      </c>
      <c r="C85" s="213">
        <f>C83*G83/G85</f>
        <v>8011.5178829290826</v>
      </c>
      <c r="D85" s="1">
        <v>10</v>
      </c>
      <c r="E85" s="1">
        <v>10</v>
      </c>
      <c r="F85" s="12" t="s">
        <v>186</v>
      </c>
      <c r="G85" s="1">
        <v>300</v>
      </c>
      <c r="H85" s="62">
        <f t="shared" si="74"/>
        <v>0.12980270179294212</v>
      </c>
      <c r="J85" s="1">
        <f t="shared" si="12"/>
        <v>47</v>
      </c>
    </row>
    <row r="86" spans="1:10">
      <c r="A86" s="4">
        <f>A85</f>
        <v>-2.7</v>
      </c>
      <c r="B86" s="1">
        <f>B85</f>
        <v>3.2</v>
      </c>
      <c r="C86" s="213">
        <f t="shared" ref="C86" si="84">C85</f>
        <v>8011.5178829290826</v>
      </c>
      <c r="D86" s="1">
        <f t="shared" ref="D86" si="85">D85</f>
        <v>10</v>
      </c>
      <c r="E86" s="1">
        <f t="shared" ref="E86" si="86">E85</f>
        <v>10</v>
      </c>
      <c r="F86" s="1" t="s">
        <v>187</v>
      </c>
      <c r="G86" s="1">
        <v>300</v>
      </c>
      <c r="H86" s="62">
        <f t="shared" si="74"/>
        <v>0.14245947938262493</v>
      </c>
      <c r="J86" s="1">
        <f t="shared" si="12"/>
        <v>48</v>
      </c>
    </row>
    <row r="87" spans="1:10">
      <c r="A87" s="4">
        <f>A85-0.2</f>
        <v>-2.9000000000000004</v>
      </c>
      <c r="B87" s="1">
        <f>B81</f>
        <v>2.8</v>
      </c>
      <c r="C87" s="213">
        <f>C85*G85/G87</f>
        <v>6867.0153282249275</v>
      </c>
      <c r="D87" s="1">
        <v>10</v>
      </c>
      <c r="E87" s="1">
        <v>10</v>
      </c>
      <c r="F87" s="12" t="s">
        <v>186</v>
      </c>
      <c r="G87" s="1">
        <v>350</v>
      </c>
      <c r="H87" s="62">
        <f t="shared" si="74"/>
        <v>0.15143648542509916</v>
      </c>
      <c r="J87" s="1">
        <f t="shared" si="12"/>
        <v>49</v>
      </c>
    </row>
    <row r="88" spans="1:10">
      <c r="A88" s="4">
        <f>A87</f>
        <v>-2.9000000000000004</v>
      </c>
      <c r="B88" s="1">
        <f>B87</f>
        <v>2.8</v>
      </c>
      <c r="C88" s="213">
        <f t="shared" ref="C88" si="87">C87</f>
        <v>6867.0153282249275</v>
      </c>
      <c r="D88" s="1">
        <f t="shared" ref="D88" si="88">D87</f>
        <v>10</v>
      </c>
      <c r="E88" s="1">
        <f t="shared" ref="E88" si="89">E87</f>
        <v>10</v>
      </c>
      <c r="F88" s="1" t="s">
        <v>187</v>
      </c>
      <c r="G88" s="1">
        <v>350</v>
      </c>
      <c r="H88" s="62">
        <f t="shared" si="74"/>
        <v>0.16620272594639576</v>
      </c>
      <c r="J88" s="1">
        <f t="shared" si="12"/>
        <v>50</v>
      </c>
    </row>
    <row r="89" spans="1:10">
      <c r="A89" s="4">
        <f>A87</f>
        <v>-2.9000000000000004</v>
      </c>
      <c r="B89" s="1">
        <f>B83</f>
        <v>3</v>
      </c>
      <c r="C89" s="213">
        <f>C87*G87/G89</f>
        <v>6867.0153282249275</v>
      </c>
      <c r="D89" s="1">
        <v>10</v>
      </c>
      <c r="E89" s="1">
        <v>10</v>
      </c>
      <c r="F89" s="12" t="s">
        <v>186</v>
      </c>
      <c r="G89" s="1">
        <v>350</v>
      </c>
      <c r="H89" s="62">
        <f t="shared" si="74"/>
        <v>0.15143648542509916</v>
      </c>
      <c r="J89" s="1">
        <f t="shared" si="12"/>
        <v>51</v>
      </c>
    </row>
    <row r="90" spans="1:10">
      <c r="A90" s="4">
        <f>A89</f>
        <v>-2.9000000000000004</v>
      </c>
      <c r="B90" s="1">
        <f>B89</f>
        <v>3</v>
      </c>
      <c r="C90" s="213">
        <f t="shared" ref="C90" si="90">C89</f>
        <v>6867.0153282249275</v>
      </c>
      <c r="D90" s="1">
        <f t="shared" ref="D90" si="91">D89</f>
        <v>10</v>
      </c>
      <c r="E90" s="1">
        <f t="shared" ref="E90" si="92">E89</f>
        <v>10</v>
      </c>
      <c r="F90" s="1" t="s">
        <v>187</v>
      </c>
      <c r="G90" s="1">
        <v>350</v>
      </c>
      <c r="H90" s="62">
        <f t="shared" si="74"/>
        <v>0.16620272594639576</v>
      </c>
      <c r="J90" s="1">
        <f t="shared" si="12"/>
        <v>52</v>
      </c>
    </row>
    <row r="91" spans="1:10">
      <c r="A91" s="4">
        <f>A89</f>
        <v>-2.9000000000000004</v>
      </c>
      <c r="B91" s="1">
        <f>B85</f>
        <v>3.2</v>
      </c>
      <c r="C91" s="213">
        <f t="shared" ref="C91" si="93">C89*G89/G91</f>
        <v>6008.6384121968122</v>
      </c>
      <c r="D91" s="1">
        <v>10</v>
      </c>
      <c r="E91" s="1">
        <v>10</v>
      </c>
      <c r="F91" s="12" t="s">
        <v>186</v>
      </c>
      <c r="G91" s="1">
        <v>400</v>
      </c>
      <c r="H91" s="62">
        <f t="shared" si="74"/>
        <v>0.1730702690572562</v>
      </c>
      <c r="J91" s="1">
        <f t="shared" si="12"/>
        <v>53</v>
      </c>
    </row>
    <row r="92" spans="1:10">
      <c r="A92" s="4">
        <f>A91</f>
        <v>-2.9000000000000004</v>
      </c>
      <c r="B92" s="1">
        <f>B91</f>
        <v>3.2</v>
      </c>
      <c r="C92" s="213">
        <f t="shared" ref="C92" si="94">C91</f>
        <v>6008.6384121968122</v>
      </c>
      <c r="D92" s="1">
        <f t="shared" ref="D92" si="95">D91</f>
        <v>10</v>
      </c>
      <c r="E92" s="1">
        <f t="shared" ref="E92" si="96">E91</f>
        <v>10</v>
      </c>
      <c r="F92" s="1" t="s">
        <v>187</v>
      </c>
      <c r="G92" s="1">
        <v>400</v>
      </c>
      <c r="H92" s="62">
        <f t="shared" si="74"/>
        <v>0.18994597251016659</v>
      </c>
      <c r="J92" s="1">
        <f t="shared" si="12"/>
        <v>54</v>
      </c>
    </row>
    <row r="93" spans="1:10">
      <c r="A93" s="4"/>
      <c r="C93" s="48"/>
      <c r="F93" s="12"/>
      <c r="H93" s="62">
        <f>SUM(H39:H92)</f>
        <v>7.0788167105647419</v>
      </c>
    </row>
    <row r="94" spans="1:10">
      <c r="A94" s="4"/>
      <c r="C94" s="48"/>
      <c r="F94" s="12"/>
      <c r="H94" s="62"/>
    </row>
    <row r="95" spans="1:10">
      <c r="A95" s="4"/>
      <c r="C95" s="48"/>
      <c r="F95" s="12"/>
      <c r="H95" s="62"/>
    </row>
    <row r="96" spans="1:10">
      <c r="A96" s="4"/>
      <c r="C96" s="48"/>
      <c r="F96" s="12"/>
      <c r="H96" s="62"/>
    </row>
    <row r="97" spans="1:8">
      <c r="A97" s="4"/>
      <c r="C97" s="48"/>
      <c r="F97" s="12"/>
      <c r="H97" s="62"/>
    </row>
    <row r="98" spans="1:8">
      <c r="A98" s="4"/>
      <c r="C98" s="48"/>
      <c r="F98" s="12"/>
      <c r="H98" s="62"/>
    </row>
    <row r="99" spans="1:8">
      <c r="A99" s="4"/>
      <c r="C99" s="48"/>
      <c r="F99" s="12"/>
      <c r="H99" s="62"/>
    </row>
    <row r="100" spans="1:8">
      <c r="A100" s="4"/>
      <c r="C100" s="48"/>
      <c r="F100" s="12"/>
      <c r="H100" s="62"/>
    </row>
    <row r="101" spans="1:8">
      <c r="A101" s="4"/>
      <c r="C101" s="48"/>
      <c r="F101" s="12"/>
      <c r="H101" s="62"/>
    </row>
    <row r="102" spans="1:8">
      <c r="A102" s="4"/>
      <c r="C102" s="48"/>
      <c r="F102" s="12"/>
      <c r="H102" s="62"/>
    </row>
    <row r="103" spans="1:8">
      <c r="A103" s="4"/>
      <c r="C103" s="48"/>
      <c r="F103" s="12"/>
      <c r="H103" s="62"/>
    </row>
    <row r="104" spans="1:8">
      <c r="A104" s="4"/>
      <c r="C104" s="48"/>
      <c r="F104" s="12"/>
      <c r="H104" s="62"/>
    </row>
    <row r="105" spans="1:8">
      <c r="A105" s="4"/>
      <c r="C105" s="48"/>
      <c r="F105" s="12"/>
      <c r="H105" s="62"/>
    </row>
    <row r="106" spans="1:8">
      <c r="A106" s="4"/>
      <c r="C106" s="48"/>
      <c r="F106" s="12"/>
      <c r="H106" s="62"/>
    </row>
    <row r="107" spans="1:8">
      <c r="A107" s="4"/>
      <c r="C107" s="48"/>
      <c r="F107" s="12"/>
      <c r="H107" s="62"/>
    </row>
    <row r="108" spans="1:8">
      <c r="A108" s="4"/>
      <c r="C108" s="48"/>
      <c r="F108" s="12"/>
      <c r="H108" s="62"/>
    </row>
    <row r="109" spans="1:8">
      <c r="A109" s="4"/>
      <c r="C109" s="48"/>
      <c r="F109" s="12"/>
      <c r="H109" s="62"/>
    </row>
    <row r="110" spans="1:8">
      <c r="A110" s="4"/>
      <c r="C110" s="48"/>
      <c r="D110" s="1">
        <v>10</v>
      </c>
      <c r="E110" s="1">
        <v>10</v>
      </c>
      <c r="F110" s="12"/>
      <c r="G110" s="1">
        <f t="shared" ref="G110:G117" si="97">G109+1</f>
        <v>1</v>
      </c>
      <c r="H110" s="62"/>
    </row>
    <row r="111" spans="1:8">
      <c r="A111" s="4"/>
      <c r="C111" s="48"/>
      <c r="D111" s="1">
        <v>10</v>
      </c>
      <c r="E111" s="1">
        <v>10</v>
      </c>
      <c r="F111" s="12"/>
      <c r="G111" s="1">
        <f t="shared" si="97"/>
        <v>2</v>
      </c>
      <c r="H111" s="62"/>
    </row>
    <row r="112" spans="1:8">
      <c r="A112" s="4"/>
      <c r="C112" s="48"/>
      <c r="D112" s="1">
        <v>10</v>
      </c>
      <c r="E112" s="1">
        <v>10</v>
      </c>
      <c r="F112" s="12"/>
      <c r="G112" s="1">
        <f t="shared" si="97"/>
        <v>3</v>
      </c>
      <c r="H112" s="62"/>
    </row>
    <row r="113" spans="1:19">
      <c r="A113" s="4"/>
      <c r="C113" s="48"/>
      <c r="D113" s="1">
        <v>10</v>
      </c>
      <c r="E113" s="1">
        <v>10</v>
      </c>
      <c r="F113" s="12"/>
      <c r="G113" s="1">
        <f t="shared" si="97"/>
        <v>4</v>
      </c>
      <c r="H113" s="62"/>
    </row>
    <row r="114" spans="1:19">
      <c r="A114" s="4"/>
      <c r="C114" s="48"/>
      <c r="D114" s="1">
        <v>10</v>
      </c>
      <c r="E114" s="1">
        <v>10</v>
      </c>
      <c r="F114" s="12"/>
      <c r="G114" s="1">
        <f t="shared" si="97"/>
        <v>5</v>
      </c>
      <c r="H114" s="62"/>
    </row>
    <row r="115" spans="1:19">
      <c r="A115" s="4"/>
      <c r="C115" s="48"/>
      <c r="D115" s="1">
        <v>10</v>
      </c>
      <c r="E115" s="1">
        <v>10</v>
      </c>
      <c r="F115" s="12"/>
      <c r="G115" s="1">
        <f t="shared" si="97"/>
        <v>6</v>
      </c>
      <c r="H115" s="62"/>
    </row>
    <row r="116" spans="1:19">
      <c r="A116" s="4"/>
      <c r="C116" s="48"/>
      <c r="D116" s="1">
        <v>10</v>
      </c>
      <c r="E116" s="1">
        <v>10</v>
      </c>
      <c r="F116" s="12"/>
      <c r="G116" s="1">
        <f t="shared" si="97"/>
        <v>7</v>
      </c>
      <c r="H116" s="62"/>
    </row>
    <row r="117" spans="1:19">
      <c r="A117" s="4"/>
      <c r="C117" s="48"/>
      <c r="D117" s="1">
        <v>10</v>
      </c>
      <c r="E117" s="1">
        <v>10</v>
      </c>
      <c r="F117" s="12"/>
      <c r="G117" s="1">
        <f t="shared" si="97"/>
        <v>8</v>
      </c>
      <c r="H117" s="62"/>
    </row>
    <row r="118" spans="1:19">
      <c r="I118"/>
      <c r="J118"/>
      <c r="K118"/>
      <c r="L118"/>
      <c r="M118"/>
      <c r="N118"/>
      <c r="O118"/>
      <c r="P118"/>
    </row>
    <row r="119" spans="1:19" ht="15.75" thickBot="1">
      <c r="A119" s="26" t="s">
        <v>94</v>
      </c>
      <c r="B119"/>
      <c r="C119"/>
      <c r="D119" s="27"/>
      <c r="E119"/>
      <c r="F119"/>
      <c r="G119"/>
      <c r="H119"/>
      <c r="I119" s="32"/>
      <c r="J119" s="33"/>
      <c r="K119" s="32"/>
      <c r="L119" s="32"/>
      <c r="M119" s="32"/>
      <c r="N119" s="32"/>
      <c r="O119" s="32"/>
      <c r="P119" s="34"/>
    </row>
    <row r="120" spans="1:19" ht="15.75" thickTop="1">
      <c r="A120" s="152"/>
      <c r="B120" s="156" t="s">
        <v>95</v>
      </c>
      <c r="C120" s="156" t="s">
        <v>96</v>
      </c>
      <c r="D120" s="157" t="s">
        <v>97</v>
      </c>
      <c r="E120" s="157" t="s">
        <v>98</v>
      </c>
      <c r="F120" s="157" t="s">
        <v>99</v>
      </c>
      <c r="G120" s="157" t="s">
        <v>65</v>
      </c>
      <c r="H120" s="158" t="s">
        <v>100</v>
      </c>
      <c r="I120" s="153" t="s">
        <v>86</v>
      </c>
      <c r="J120" s="152" t="s">
        <v>87</v>
      </c>
      <c r="K120" s="153" t="s">
        <v>88</v>
      </c>
      <c r="L120" s="153" t="s">
        <v>89</v>
      </c>
      <c r="M120" s="153" t="s">
        <v>90</v>
      </c>
      <c r="N120" s="153" t="s">
        <v>91</v>
      </c>
      <c r="O120" s="153" t="s">
        <v>92</v>
      </c>
      <c r="P120" s="167" t="s">
        <v>93</v>
      </c>
      <c r="Q120"/>
      <c r="R120" s="27" t="s">
        <v>152</v>
      </c>
      <c r="S120" s="27" t="s">
        <v>153</v>
      </c>
    </row>
    <row r="121" spans="1:19">
      <c r="A121" s="152">
        <v>1</v>
      </c>
      <c r="B121" s="152">
        <v>0</v>
      </c>
      <c r="C121" s="170">
        <f>H18-0.1</f>
        <v>-1.1000000000000001</v>
      </c>
      <c r="D121" s="152">
        <f>$H$19+0.1-(K121/2)+($C$21/2000)</f>
        <v>5.9750914999999996</v>
      </c>
      <c r="E121" s="161">
        <f>P121</f>
        <v>1.5280757680757683E-4</v>
      </c>
      <c r="F121" s="152" t="e">
        <f>IF($B121,$C121,$D121)+$K121-IF($B121,#REF!/1000,#REF!/1000)</f>
        <v>#REF!</v>
      </c>
      <c r="G121" s="152">
        <v>50000</v>
      </c>
      <c r="H121" s="152">
        <f>(I121-IF(B121,$C$21,$B$21))/(IF(B121,$C$19,$B$19)-IF(B121,$C$21,$B$21))*10</f>
        <v>10</v>
      </c>
      <c r="I121" s="162">
        <v>10</v>
      </c>
      <c r="J121" s="154">
        <v>600</v>
      </c>
      <c r="K121" s="152">
        <v>0.05</v>
      </c>
      <c r="L121" s="152">
        <f>I121*0.001*K121</f>
        <v>5.0000000000000001E-4</v>
      </c>
      <c r="M121" s="152">
        <f>L121*J121*(0.000000001)/(1.6E-19)</f>
        <v>1875000000</v>
      </c>
      <c r="N121" s="153">
        <f>MAX($E$3:$E$15)*2</f>
        <v>5730284.1302841306</v>
      </c>
      <c r="O121" s="168">
        <f>M121/N121</f>
        <v>327.20890576625385</v>
      </c>
      <c r="P121" s="161">
        <f>K121/O121</f>
        <v>1.5280757680757683E-4</v>
      </c>
      <c r="Q121"/>
      <c r="R121" s="40">
        <f>SUM(O121:O218)</f>
        <v>1308.8356230650154</v>
      </c>
      <c r="S121" s="62">
        <f>R121/60</f>
        <v>21.813927051083589</v>
      </c>
    </row>
    <row r="122" spans="1:19">
      <c r="A122" s="152">
        <f>A121+1</f>
        <v>2</v>
      </c>
      <c r="B122" s="152">
        <v>1</v>
      </c>
      <c r="C122" s="170">
        <f>C121-(K122/2)+($B$21/2000)</f>
        <v>-1.1249804999999999</v>
      </c>
      <c r="D122" s="161">
        <f>$H$19+0.1</f>
        <v>6</v>
      </c>
      <c r="E122" s="161">
        <f t="shared" ref="E122" si="98">P122</f>
        <v>1.5280757680757683E-4</v>
      </c>
      <c r="F122" s="152" t="e">
        <f>IF($B122,$C122,$D122)+$K122-IF($B122,#REF!/1000,#REF!/1000)</f>
        <v>#REF!</v>
      </c>
      <c r="G122" s="152">
        <v>50000</v>
      </c>
      <c r="H122" s="152">
        <f t="shared" ref="H122:H124" si="99">(I122-IF(B122,$C$21,$B$21))/(IF(B122,$C$19,$B$19)-IF(B122,$C$21,$B$21))*10</f>
        <v>10</v>
      </c>
      <c r="I122" s="162">
        <v>10</v>
      </c>
      <c r="J122" s="154">
        <v>600</v>
      </c>
      <c r="K122" s="152">
        <v>0.05</v>
      </c>
      <c r="L122" s="152">
        <f t="shared" ref="L122" si="100">I122*0.001*K122</f>
        <v>5.0000000000000001E-4</v>
      </c>
      <c r="M122" s="152">
        <f t="shared" ref="M122" si="101">L122*J122*(0.000000001)/(1.6E-19)</f>
        <v>1875000000</v>
      </c>
      <c r="N122" s="153">
        <f t="shared" ref="N122:N124" si="102">MAX($E$3:$E$15)*2</f>
        <v>5730284.1302841306</v>
      </c>
      <c r="O122" s="168">
        <f t="shared" ref="O122" si="103">M122/N122</f>
        <v>327.20890576625385</v>
      </c>
      <c r="P122" s="161">
        <f t="shared" ref="P122" si="104">K122/O122</f>
        <v>1.5280757680757683E-4</v>
      </c>
      <c r="Q122"/>
      <c r="R122"/>
      <c r="S122"/>
    </row>
    <row r="123" spans="1:19">
      <c r="A123" s="152">
        <f>A122+1</f>
        <v>3</v>
      </c>
      <c r="B123" s="152">
        <v>0</v>
      </c>
      <c r="C123" s="170">
        <f>A117+0.1</f>
        <v>0.1</v>
      </c>
      <c r="D123" s="152">
        <f>D121</f>
        <v>5.9750914999999996</v>
      </c>
      <c r="E123" s="161">
        <f>P123</f>
        <v>1.5280757680757683E-4</v>
      </c>
      <c r="F123" s="152" t="e">
        <f>IF($B123,$C123,$D123)+$K123-IF($B123,#REF!/1000,#REF!/1000)</f>
        <v>#REF!</v>
      </c>
      <c r="G123" s="152">
        <v>50000</v>
      </c>
      <c r="H123" s="152">
        <f t="shared" si="99"/>
        <v>10</v>
      </c>
      <c r="I123" s="162">
        <v>10</v>
      </c>
      <c r="J123" s="154">
        <v>600</v>
      </c>
      <c r="K123" s="152">
        <v>0.05</v>
      </c>
      <c r="L123" s="152">
        <f>I123*0.001*K123</f>
        <v>5.0000000000000001E-4</v>
      </c>
      <c r="M123" s="152">
        <f>L123*J123*(0.000000001)/(1.6E-19)</f>
        <v>1875000000</v>
      </c>
      <c r="N123" s="153">
        <f t="shared" si="102"/>
        <v>5730284.1302841306</v>
      </c>
      <c r="O123" s="168">
        <f>M123/N123</f>
        <v>327.20890576625385</v>
      </c>
      <c r="P123" s="161">
        <f>K123/O123</f>
        <v>1.5280757680757683E-4</v>
      </c>
      <c r="Q123"/>
      <c r="R123" s="40"/>
      <c r="S123"/>
    </row>
    <row r="124" spans="1:19">
      <c r="A124" s="152">
        <f>A123+1</f>
        <v>4</v>
      </c>
      <c r="B124" s="152">
        <v>1</v>
      </c>
      <c r="C124" s="152">
        <f>C123-(K124/2)+($B$21/2000)</f>
        <v>7.5019500000000017E-2</v>
      </c>
      <c r="D124" s="161">
        <f>D122</f>
        <v>6</v>
      </c>
      <c r="E124" s="161">
        <f t="shared" ref="E124" si="105">P124</f>
        <v>1.5280757680757683E-4</v>
      </c>
      <c r="F124" s="152" t="e">
        <f>IF($B124,$C124,$D124)+$K124-IF($B124,#REF!/1000,#REF!/1000)</f>
        <v>#REF!</v>
      </c>
      <c r="G124" s="152">
        <v>50000</v>
      </c>
      <c r="H124" s="152">
        <f t="shared" si="99"/>
        <v>10</v>
      </c>
      <c r="I124" s="162">
        <v>10</v>
      </c>
      <c r="J124" s="154">
        <v>600</v>
      </c>
      <c r="K124" s="152">
        <v>0.05</v>
      </c>
      <c r="L124" s="152">
        <f t="shared" ref="L124" si="106">I124*0.001*K124</f>
        <v>5.0000000000000001E-4</v>
      </c>
      <c r="M124" s="152">
        <f t="shared" ref="M124" si="107">L124*J124*(0.000000001)/(1.6E-19)</f>
        <v>1875000000</v>
      </c>
      <c r="N124" s="153">
        <f t="shared" si="102"/>
        <v>5730284.1302841306</v>
      </c>
      <c r="O124" s="168">
        <f t="shared" ref="O124" si="108">M124/N124</f>
        <v>327.20890576625385</v>
      </c>
      <c r="P124" s="161">
        <f t="shared" ref="P124" si="109">K124/O124</f>
        <v>1.5280757680757683E-4</v>
      </c>
      <c r="Q124"/>
      <c r="R124"/>
      <c r="S124"/>
    </row>
  </sheetData>
  <mergeCells count="5">
    <mergeCell ref="A37:F37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96383-3204-4AA6-9C3F-9AEC1C2F0346}"/>
</file>

<file path=customXml/itemProps2.xml><?xml version="1.0" encoding="utf-8"?>
<ds:datastoreItem xmlns:ds="http://schemas.openxmlformats.org/officeDocument/2006/customXml" ds:itemID="{8ADD3F3A-B194-4B5E-9370-2E0DDB431D96}"/>
</file>

<file path=customXml/itemProps3.xml><?xml version="1.0" encoding="utf-8"?>
<ds:datastoreItem xmlns:ds="http://schemas.openxmlformats.org/officeDocument/2006/customXml" ds:itemID="{C9750B69-50BB-4DE9-9B65-D8465F041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Chuan Jie</dc:creator>
  <cp:keywords/>
  <dc:description/>
  <cp:lastModifiedBy>Yee Ming Feng</cp:lastModifiedBy>
  <cp:revision/>
  <dcterms:created xsi:type="dcterms:W3CDTF">2022-07-06T09:44:57Z</dcterms:created>
  <dcterms:modified xsi:type="dcterms:W3CDTF">2025-09-18T06:53:24Z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