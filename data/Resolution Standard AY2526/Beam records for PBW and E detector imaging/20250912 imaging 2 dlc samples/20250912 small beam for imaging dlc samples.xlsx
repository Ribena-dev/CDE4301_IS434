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1_0A2E8CC72A9900004C1E060BED36BF8009D9074A" xr6:coauthVersionLast="47" xr6:coauthVersionMax="47" xr10:uidLastSave="{00000000-0000-0000-0000-000000000000}"/>
  <bookViews>
    <workbookView xWindow="-105" yWindow="15" windowWidth="23250" windowHeight="1233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6" l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B55" i="6"/>
  <c r="B56" i="6" s="1"/>
  <c r="B57" i="6" s="1"/>
  <c r="B58" i="6" s="1"/>
  <c r="B59" i="6" s="1"/>
  <c r="B60" i="6" s="1"/>
  <c r="B61" i="6" s="1"/>
  <c r="B62" i="6" s="1"/>
  <c r="B63" i="6" s="1"/>
  <c r="A55" i="6"/>
  <c r="A56" i="6" s="1"/>
  <c r="C56" i="6"/>
  <c r="H56" i="6" s="1"/>
  <c r="H55" i="6"/>
  <c r="G41" i="6"/>
  <c r="G42" i="6" s="1"/>
  <c r="A41" i="6"/>
  <c r="A42" i="6" s="1"/>
  <c r="A43" i="6" s="1"/>
  <c r="A46" i="6" s="1"/>
  <c r="A49" i="6" s="1"/>
  <c r="A52" i="6" s="1"/>
  <c r="G43" i="6" l="1"/>
  <c r="G44" i="6" s="1"/>
  <c r="G45" i="6" s="1"/>
  <c r="G46" i="6" s="1"/>
  <c r="G47" i="6" s="1"/>
  <c r="G48" i="6" s="1"/>
  <c r="G49" i="6" s="1"/>
  <c r="G50" i="6" s="1"/>
  <c r="G51" i="6" s="1"/>
  <c r="G52" i="6" s="1"/>
  <c r="G53" i="6"/>
  <c r="C57" i="6"/>
  <c r="A57" i="6"/>
  <c r="A60" i="6" s="1"/>
  <c r="A63" i="6" s="1"/>
  <c r="A59" i="6"/>
  <c r="A62" i="6" s="1"/>
  <c r="A65" i="6" s="1"/>
  <c r="A68" i="6" s="1"/>
  <c r="A71" i="6" s="1"/>
  <c r="B64" i="6"/>
  <c r="B65" i="6" s="1"/>
  <c r="B66" i="6" s="1"/>
  <c r="B67" i="6" s="1"/>
  <c r="B68" i="6" s="1"/>
  <c r="B69" i="6" s="1"/>
  <c r="A58" i="6"/>
  <c r="A61" i="6" s="1"/>
  <c r="A64" i="6" s="1"/>
  <c r="A67" i="6" s="1"/>
  <c r="A70" i="6" s="1"/>
  <c r="A44" i="6"/>
  <c r="A47" i="6" s="1"/>
  <c r="O69" i="6"/>
  <c r="O70" i="6"/>
  <c r="O71" i="6" s="1"/>
  <c r="O73" i="6" s="1"/>
  <c r="O74" i="6"/>
  <c r="B41" i="6"/>
  <c r="B42" i="6" s="1"/>
  <c r="B43" i="6" s="1"/>
  <c r="B44" i="6" s="1"/>
  <c r="A66" i="6" l="1"/>
  <c r="A69" i="6" s="1"/>
  <c r="A72" i="6" s="1"/>
  <c r="C58" i="6"/>
  <c r="H57" i="6"/>
  <c r="B70" i="6"/>
  <c r="B71" i="6" s="1"/>
  <c r="B72" i="6" s="1"/>
  <c r="A50" i="6"/>
  <c r="A51" i="6" s="1"/>
  <c r="A48" i="6"/>
  <c r="B45" i="6"/>
  <c r="B46" i="6" s="1"/>
  <c r="O75" i="6"/>
  <c r="O76" i="6" s="1"/>
  <c r="A45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E34" i="6"/>
  <c r="G30" i="1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31" i="6"/>
  <c r="H58" i="6" l="1"/>
  <c r="C59" i="6"/>
  <c r="B47" i="6"/>
  <c r="B48" i="6" s="1"/>
  <c r="B49" i="6" s="1"/>
  <c r="D144" i="6"/>
  <c r="D146" i="6" s="1"/>
  <c r="P24" i="5"/>
  <c r="O24" i="5"/>
  <c r="C145" i="6"/>
  <c r="C143" i="6"/>
  <c r="L146" i="6"/>
  <c r="M146" i="6" s="1"/>
  <c r="L145" i="6"/>
  <c r="M145" i="6" s="1"/>
  <c r="L144" i="6"/>
  <c r="M144" i="6" s="1"/>
  <c r="A144" i="6"/>
  <c r="A145" i="6" s="1"/>
  <c r="A146" i="6" s="1"/>
  <c r="L143" i="6"/>
  <c r="M143" i="6" s="1"/>
  <c r="B30" i="6"/>
  <c r="C21" i="6"/>
  <c r="H144" i="6" s="1"/>
  <c r="B21" i="6"/>
  <c r="H145" i="6" s="1"/>
  <c r="G132" i="6"/>
  <c r="G133" i="6" s="1"/>
  <c r="G134" i="6" s="1"/>
  <c r="G135" i="6" s="1"/>
  <c r="G136" i="6" s="1"/>
  <c r="G137" i="6" s="1"/>
  <c r="G138" i="6" s="1"/>
  <c r="G139" i="6" s="1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I6" i="6"/>
  <c r="H6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C60" i="6" l="1"/>
  <c r="H59" i="6"/>
  <c r="B50" i="6"/>
  <c r="B51" i="6" s="1"/>
  <c r="B52" i="6" s="1"/>
  <c r="E4" i="6"/>
  <c r="J4" i="6" s="1"/>
  <c r="D143" i="6"/>
  <c r="F143" i="6" s="1"/>
  <c r="H135" i="5"/>
  <c r="D29" i="5"/>
  <c r="H136" i="5"/>
  <c r="H141" i="5"/>
  <c r="H142" i="5"/>
  <c r="D135" i="5"/>
  <c r="H143" i="6"/>
  <c r="H146" i="6"/>
  <c r="I3" i="5"/>
  <c r="C144" i="6"/>
  <c r="F144" i="6" s="1"/>
  <c r="C146" i="6"/>
  <c r="F146" i="6" s="1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E5" i="6" l="1"/>
  <c r="J5" i="6" s="1"/>
  <c r="C61" i="6"/>
  <c r="H60" i="6"/>
  <c r="D145" i="6"/>
  <c r="F145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E6" i="6" l="1"/>
  <c r="C62" i="6"/>
  <c r="H61" i="6"/>
  <c r="D31" i="5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J6" i="6"/>
  <c r="C63" i="6" l="1"/>
  <c r="H62" i="6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E8" i="6"/>
  <c r="H63" i="6" l="1"/>
  <c r="C64" i="6"/>
  <c r="F32" i="5"/>
  <c r="D33" i="5"/>
  <c r="K141" i="5"/>
  <c r="K142" i="5"/>
  <c r="D8" i="5"/>
  <c r="I7" i="5"/>
  <c r="J8" i="6"/>
  <c r="E9" i="6"/>
  <c r="C65" i="6" l="1"/>
  <c r="H64" i="6"/>
  <c r="F33" i="5"/>
  <c r="D34" i="5"/>
  <c r="L142" i="5"/>
  <c r="M142" i="5" s="1"/>
  <c r="F142" i="5"/>
  <c r="L141" i="5"/>
  <c r="M141" i="5" s="1"/>
  <c r="F141" i="5"/>
  <c r="D9" i="5"/>
  <c r="I8" i="5"/>
  <c r="E10" i="6"/>
  <c r="J9" i="6"/>
  <c r="H65" i="6" l="1"/>
  <c r="C66" i="6"/>
  <c r="F34" i="5"/>
  <c r="D35" i="5"/>
  <c r="I9" i="5"/>
  <c r="D10" i="5"/>
  <c r="E11" i="6"/>
  <c r="J10" i="6"/>
  <c r="C67" i="6" l="1"/>
  <c r="H66" i="6"/>
  <c r="F35" i="5"/>
  <c r="D36" i="5"/>
  <c r="D11" i="5"/>
  <c r="I10" i="5"/>
  <c r="E12" i="6"/>
  <c r="J11" i="6"/>
  <c r="C68" i="6" l="1"/>
  <c r="H67" i="6"/>
  <c r="F36" i="5"/>
  <c r="D37" i="5"/>
  <c r="D12" i="5"/>
  <c r="I11" i="5"/>
  <c r="E13" i="6"/>
  <c r="J12" i="6"/>
  <c r="C69" i="6" l="1"/>
  <c r="H68" i="6"/>
  <c r="F37" i="5"/>
  <c r="D38" i="5"/>
  <c r="D13" i="5"/>
  <c r="I12" i="5"/>
  <c r="J13" i="6"/>
  <c r="E14" i="6"/>
  <c r="H69" i="6" l="1"/>
  <c r="C70" i="6"/>
  <c r="F38" i="5"/>
  <c r="D39" i="5"/>
  <c r="D14" i="5"/>
  <c r="I13" i="5"/>
  <c r="J14" i="6"/>
  <c r="E15" i="6"/>
  <c r="C71" i="6" l="1"/>
  <c r="H70" i="6"/>
  <c r="F39" i="5"/>
  <c r="D40" i="5"/>
  <c r="M25" i="6"/>
  <c r="M27" i="6" s="1"/>
  <c r="M28" i="6" s="1"/>
  <c r="M32" i="6" s="1"/>
  <c r="K25" i="6"/>
  <c r="K27" i="6" s="1"/>
  <c r="K28" i="6" s="1"/>
  <c r="K32" i="6" s="1"/>
  <c r="I25" i="6"/>
  <c r="I27" i="6" s="1"/>
  <c r="I28" i="6" s="1"/>
  <c r="I32" i="6" s="1"/>
  <c r="G25" i="6"/>
  <c r="G27" i="6" s="1"/>
  <c r="G28" i="6" s="1"/>
  <c r="G32" i="6" s="1"/>
  <c r="P25" i="6"/>
  <c r="P27" i="6" s="1"/>
  <c r="P28" i="6" s="1"/>
  <c r="P32" i="6" s="1"/>
  <c r="R25" i="6"/>
  <c r="R27" i="6" s="1"/>
  <c r="R28" i="6" s="1"/>
  <c r="R32" i="6" s="1"/>
  <c r="O25" i="6"/>
  <c r="O27" i="6" s="1"/>
  <c r="O28" i="6" s="1"/>
  <c r="O32" i="6" s="1"/>
  <c r="H25" i="6"/>
  <c r="H27" i="6" s="1"/>
  <c r="H28" i="6" s="1"/>
  <c r="H32" i="6" s="1"/>
  <c r="N25" i="6"/>
  <c r="N27" i="6" s="1"/>
  <c r="N28" i="6" s="1"/>
  <c r="N32" i="6" s="1"/>
  <c r="L25" i="6"/>
  <c r="L27" i="6" s="1"/>
  <c r="L28" i="6" s="1"/>
  <c r="L32" i="6" s="1"/>
  <c r="J25" i="6"/>
  <c r="J27" i="6" s="1"/>
  <c r="J28" i="6" s="1"/>
  <c r="J32" i="6" s="1"/>
  <c r="N144" i="6"/>
  <c r="O144" i="6" s="1"/>
  <c r="P144" i="6" s="1"/>
  <c r="E144" i="6" s="1"/>
  <c r="N145" i="6"/>
  <c r="O145" i="6" s="1"/>
  <c r="P145" i="6" s="1"/>
  <c r="E145" i="6" s="1"/>
  <c r="N146" i="6"/>
  <c r="O146" i="6" s="1"/>
  <c r="P146" i="6" s="1"/>
  <c r="E146" i="6" s="1"/>
  <c r="N143" i="6"/>
  <c r="O143" i="6" s="1"/>
  <c r="I14" i="5"/>
  <c r="D15" i="5"/>
  <c r="M118" i="5"/>
  <c r="D18" i="6"/>
  <c r="E18" i="6" s="1"/>
  <c r="F18" i="6" s="1"/>
  <c r="D25" i="6"/>
  <c r="D27" i="6" s="1"/>
  <c r="D28" i="6" s="1"/>
  <c r="D32" i="6" s="1"/>
  <c r="B25" i="6"/>
  <c r="B27" i="6" s="1"/>
  <c r="B28" i="6" s="1"/>
  <c r="B32" i="6" s="1"/>
  <c r="B33" i="6" s="1"/>
  <c r="B36" i="6" s="1"/>
  <c r="F25" i="6"/>
  <c r="F27" i="6" s="1"/>
  <c r="F28" i="6" s="1"/>
  <c r="F32" i="6" s="1"/>
  <c r="E25" i="6"/>
  <c r="E27" i="6" s="1"/>
  <c r="E28" i="6" s="1"/>
  <c r="E32" i="6" s="1"/>
  <c r="Q25" i="6"/>
  <c r="Q27" i="6" s="1"/>
  <c r="Q28" i="6" s="1"/>
  <c r="Q32" i="6" s="1"/>
  <c r="C25" i="6"/>
  <c r="C27" i="6" s="1"/>
  <c r="C28" i="6" s="1"/>
  <c r="C32" i="6" s="1"/>
  <c r="J15" i="6"/>
  <c r="H71" i="6" l="1"/>
  <c r="C72" i="6"/>
  <c r="H72" i="6" s="1"/>
  <c r="H73" i="6" s="1"/>
  <c r="F33" i="6"/>
  <c r="F36" i="6" s="1"/>
  <c r="F37" i="6" s="1"/>
  <c r="P33" i="6"/>
  <c r="P36" i="6" s="1"/>
  <c r="P37" i="6" s="1"/>
  <c r="L33" i="6"/>
  <c r="L36" i="6" s="1"/>
  <c r="L37" i="6" s="1"/>
  <c r="N33" i="6"/>
  <c r="N36" i="6" s="1"/>
  <c r="N37" i="6" s="1"/>
  <c r="M33" i="6"/>
  <c r="M36" i="6" s="1"/>
  <c r="M37" i="6" s="1"/>
  <c r="R33" i="6"/>
  <c r="R36" i="6" s="1"/>
  <c r="R37" i="6" s="1"/>
  <c r="D33" i="6"/>
  <c r="D36" i="6" s="1"/>
  <c r="D37" i="6" s="1"/>
  <c r="J33" i="6"/>
  <c r="J36" i="6" s="1"/>
  <c r="J37" i="6" s="1"/>
  <c r="C33" i="6"/>
  <c r="C36" i="6" s="1"/>
  <c r="C37" i="6" s="1"/>
  <c r="Q33" i="6"/>
  <c r="Q36" i="6" s="1"/>
  <c r="Q37" i="6" s="1"/>
  <c r="H33" i="6"/>
  <c r="H36" i="6" s="1"/>
  <c r="H37" i="6" s="1"/>
  <c r="G33" i="6"/>
  <c r="G36" i="6" s="1"/>
  <c r="G37" i="6" s="1"/>
  <c r="I33" i="6"/>
  <c r="I36" i="6" s="1"/>
  <c r="I37" i="6" s="1"/>
  <c r="K33" i="6"/>
  <c r="K36" i="6" s="1"/>
  <c r="K37" i="6" s="1"/>
  <c r="E33" i="6"/>
  <c r="E36" i="6" s="1"/>
  <c r="E37" i="6" s="1"/>
  <c r="O33" i="6"/>
  <c r="O36" i="6" s="1"/>
  <c r="O37" i="6" s="1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B37" i="6"/>
  <c r="P143" i="6"/>
  <c r="E143" i="6" s="1"/>
  <c r="R143" i="6"/>
  <c r="S143" i="6" s="1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F41" i="5" l="1"/>
  <c r="D42" i="5"/>
  <c r="P141" i="5"/>
  <c r="E141" i="5" s="1"/>
  <c r="R135" i="5"/>
  <c r="S135" i="5" s="1"/>
  <c r="O31" i="5"/>
  <c r="E31" i="5" s="1"/>
  <c r="N32" i="5"/>
  <c r="O32" i="5" s="1"/>
  <c r="E32" i="5" s="1"/>
  <c r="F42" i="5" l="1"/>
  <c r="D43" i="5"/>
  <c r="N33" i="5"/>
  <c r="F43" i="5" l="1"/>
  <c r="D44" i="5"/>
  <c r="O33" i="5"/>
  <c r="E33" i="5" s="1"/>
  <c r="N34" i="5"/>
  <c r="O34" i="5" s="1"/>
  <c r="E34" i="5" s="1"/>
  <c r="F44" i="5" l="1"/>
  <c r="D45" i="5"/>
  <c r="N35" i="5"/>
  <c r="O35" i="5" s="1"/>
  <c r="E35" i="5" s="1"/>
  <c r="F45" i="5" l="1"/>
  <c r="D46" i="5"/>
  <c r="N36" i="5"/>
  <c r="O36" i="5" s="1"/>
  <c r="E36" i="5" s="1"/>
  <c r="F46" i="5" l="1"/>
  <c r="D47" i="5"/>
  <c r="N37" i="5"/>
  <c r="O37" i="5" s="1"/>
  <c r="E37" i="5" s="1"/>
  <c r="F47" i="5" l="1"/>
  <c r="D48" i="5"/>
  <c r="N38" i="5"/>
  <c r="O38" i="5" s="1"/>
  <c r="E38" i="5" s="1"/>
  <c r="F48" i="5" l="1"/>
  <c r="D50" i="5"/>
  <c r="N39" i="5"/>
  <c r="O39" i="5" s="1"/>
  <c r="E39" i="5" s="1"/>
  <c r="F50" i="5" l="1"/>
  <c r="D51" i="5"/>
  <c r="N40" i="5"/>
  <c r="O40" i="5" s="1"/>
  <c r="E40" i="5" s="1"/>
  <c r="F51" i="5" l="1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<sst xmlns="http://schemas.openxmlformats.org/spreadsheetml/2006/main" count="704" uniqueCount="230">
  <si>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</si>
  <si>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</si>
  <si>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</si>
  <si>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</si>
  <si>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</si>
  <si>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</si>
  <si>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</si>
  <si>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</si>
  <si>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</si>
  <si>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</si>
  <si>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</si>
  <si>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</si>
  <si>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</si>
  <si>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</si>
  <si>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</si>
  <si>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</si>
  <si>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</si>
  <si>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</si>
  <si>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</si>
  <si>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</si>
  <si>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</si>
  <si>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</si>
  <si>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</si>
  <si>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</si>
  <si>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</si>
  <si>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</si>
  <si>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</si>
  <si>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</si>
  <si>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</si>
  <si>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</si>
  <si>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</si>
  <si>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</si>
  <si>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</si>
  <si>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</si>
  <si>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</si>
  <si>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</si>
  <si>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</si>
  <si>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</si>
  <si>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</si>
  <si>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</si>
  <si>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</si>
  <si>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</si>
  <si>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</si>
  <si>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</si>
  <si>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</si>
  <si>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</si>
  <si>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</si>
  <si>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</si>
  <si>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</si>
  <si>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</si>
  <si>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</si>
  <si>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</si>
  <si>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</si>
  <si>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</si>
  <si>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</si>
  <si>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</si>
  <si>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</si>
  <si>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</si>
  <si>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</si>
  <si>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</si>
  <si>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</si>
  <si>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</si>
  <si>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</si>
  <si>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</si>
  <si>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</si>
  <si>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</si>
  <si>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</si>
  <si>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</si>
  <si>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</si>
  <si>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</si>
  <si>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</si>
  <si>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</si>
  <si>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</si>
  <si>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</si>
  <si>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</si>
  <si>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</si>
  <si>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</si>
  <si>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</si>
  <si>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</si>
  <si>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</si>
  <si>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</si>
  <si>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</si>
  <si>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</si>
  <si>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</si>
  <si>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</si>
  <si>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</si>
  <si>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</si>
  <si>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</si>
  <si>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</si>
  <si>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</si>
  <si>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</si>
  <si>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</si>
  <si>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</si>
  <si>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</si>
  <si>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</si>
  <si>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</si>
  <si>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</si>
  <si>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</si>
  <si>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</si>
  <si>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</si>
  <si>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</si>
  <si>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</si>
  <si>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</si>
  <si>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</si>
  <si>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</si>
  <si>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</si>
  <si>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</si>
  <si>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</si>
  <si>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</si>
  <si>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</si>
  <si>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</si>
  <si>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</si>
  <si>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</si>
  <si>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</si>
  <si>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</si>
  <si>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</si>
  <si>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</si>
  <si>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</si>
  <si>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</si>
  <si>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</si>
  <si>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</si>
  <si>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</si>
  <si>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</si>
  <si>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</si>
  <si>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</si>
  <si>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</si>
  <si>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</si>
  <si>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</si>
  <si>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</si>
  <si>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</si>
  <si>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</si>
  <si>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</si>
  <si>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</si>
  <si>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</si>
  <si>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</si>
  <si>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</si>
  <si>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</si>
  <si>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</si>
  <si>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</si>
  <si>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</si>
  <si>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</si>
  <si>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</si>
  <si>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</si>
  <si>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</si>
  <si>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</si>
  <si>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</si>
  <si>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</si>
  <si>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</si>
  <si>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</si>
  <si>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</si>
  <si>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</si>
  <si>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</si>
  <si>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</si>
  <si>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</si>
  <si>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</si>
  <si>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</si>
  <si>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</si>
  <si>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</si>
  <si>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</si>
  <si>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</si>
  <si>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</si>
  <si>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</si>
  <si>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</si>
  <si>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</si>
  <si>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</si>
  <si>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</si>
  <si>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</si>
  <si>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</si>
  <si>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</si>
  <si>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</si>
  <si>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</si>
  <si>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</si>
  <si>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</si>
  <si>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</si>
  <si>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</si>
  <si>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</si>
  <si>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</si>
  <si>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</si>
  <si>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</si>
  <si>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</si>
  <si>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</si>
  <si>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</si>
  <si>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</si>
  <si>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</si>
  <si>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</si>
  <si>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</si>
  <si>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Scanning Parameters (for 1D lines)</t>
  </si>
  <si>
    <t>256 line</t>
  </si>
  <si>
    <t>512 line</t>
  </si>
  <si>
    <t>1024 line</t>
  </si>
  <si>
    <t>2048 line</t>
  </si>
  <si>
    <t>512 line density</t>
  </si>
  <si>
    <t>dose 1</t>
  </si>
  <si>
    <t>dose 2</t>
  </si>
  <si>
    <t>dose 3</t>
  </si>
  <si>
    <t>dose 4</t>
  </si>
  <si>
    <t>dose 5</t>
  </si>
  <si>
    <t>dose 6</t>
  </si>
  <si>
    <t>dose 7</t>
  </si>
  <si>
    <t>dose 8</t>
  </si>
  <si>
    <t>dose 9</t>
  </si>
  <si>
    <t>dose 10</t>
  </si>
  <si>
    <t>512 multi line</t>
  </si>
  <si>
    <t>512 singles</t>
  </si>
  <si>
    <t>Ion Count Rate (#/s)</t>
  </si>
  <si>
    <t>Raster direction(0=y)</t>
  </si>
  <si>
    <t>x pixel size (mm/px)</t>
  </si>
  <si>
    <t>y pixel size (mm/px)</t>
  </si>
  <si>
    <t>Frequency (Hz) or px/s</t>
  </si>
  <si>
    <t>ORIGIN</t>
  </si>
  <si>
    <t>time</t>
  </si>
  <si>
    <t xml:space="preserve">time total (s) </t>
  </si>
  <si>
    <t>1_dot</t>
  </si>
  <si>
    <t>1_dot_x10</t>
  </si>
  <si>
    <t>1_dot_x100</t>
  </si>
  <si>
    <t>1_dot_x1000</t>
  </si>
  <si>
    <t>dots</t>
  </si>
  <si>
    <t>points</t>
  </si>
  <si>
    <t>10x2_dots</t>
  </si>
  <si>
    <t>1_dot_centre</t>
  </si>
  <si>
    <t>CUR</t>
  </si>
  <si>
    <t>#</t>
  </si>
  <si>
    <t>#/s</t>
  </si>
  <si>
    <t>H</t>
  </si>
  <si>
    <t># needed</t>
  </si>
  <si>
    <t>Time</t>
  </si>
  <si>
    <t>s</t>
  </si>
  <si>
    <t>Pixels</t>
  </si>
  <si>
    <t>time/px</t>
  </si>
  <si>
    <t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</si>
</sst>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1" fontId="0" fillId="2" borderId="29" xfId="0" applyNumberFormat="1" applyFill="1" applyBorder="1" applyAlignment="1">
      <alignment horizont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9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0" t="s">
        <v>25</v>
      </c>
      <c r="B17" s="221"/>
      <c r="C17" s="222"/>
      <c r="D17" s="9"/>
      <c r="E17" s="225" t="s">
        <v>26</v>
      </c>
      <c r="F17" s="224"/>
      <c r="H17" s="220" t="s">
        <v>27</v>
      </c>
      <c r="I17" s="222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0" t="s">
        <v>40</v>
      </c>
      <c r="B22" s="223"/>
      <c r="C22" s="223"/>
      <c r="D22" s="223"/>
      <c r="E22" s="223"/>
      <c r="F22" s="224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5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6">
        <f>'Beam scan new'!B19*'Beam scan new'!C19/1000000</f>
        <v>1.2994192688000001E-4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6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7">
        <f>'Beam scan new'!B19/G25/1000</f>
        <v>2.4211328124999999E-5</v>
      </c>
      <c r="H26" s="1">
        <f>G26*1000000</f>
        <v>24.211328124999998</v>
      </c>
      <c r="I26" s="1">
        <f>1000/H26</f>
        <v>41.302979945467165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7">
        <f>'Beam scan new'!C19/G25/1000</f>
        <v>2.0473437499999999E-5</v>
      </c>
      <c r="H27" s="1">
        <f>G27*1000000</f>
        <v>20.473437499999999</v>
      </c>
      <c r="I27" s="1">
        <f>1000/H27</f>
        <v>48.843776234450125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41.302979945467165</v>
      </c>
      <c r="O27" s="1">
        <f t="shared" ref="O27:O40" si="10">$I$27*(M27-1)</f>
        <v>48.843776234450125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6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82.605959890934329</v>
      </c>
      <c r="O28" s="1">
        <f t="shared" si="10"/>
        <v>97.68755246890025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6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123.90893983640149</v>
      </c>
      <c r="O29" s="1">
        <f t="shared" si="10"/>
        <v>146.53132870335037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8">
        <f>'Beam scan new'!E7</f>
        <v>814127.90697674418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165.21191978186866</v>
      </c>
      <c r="O30" s="1">
        <f t="shared" si="10"/>
        <v>195.3751049378005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8">
        <f t="shared" si="16"/>
        <v>2.2832212953486459E-3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206.51489972733583</v>
      </c>
      <c r="O31" s="1">
        <f t="shared" si="10"/>
        <v>244.21888117225063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9">
        <f t="shared" si="18"/>
        <v>437.97769495107167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247.81787967280297</v>
      </c>
      <c r="O32" s="1">
        <f t="shared" si="10"/>
        <v>293.06265740670074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6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289.12085961827017</v>
      </c>
      <c r="O33" s="1">
        <f t="shared" si="10"/>
        <v>341.9064336411509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6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330.42383956373732</v>
      </c>
      <c r="O34" s="1">
        <f t="shared" si="10"/>
        <v>390.750209875601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9">
        <f t="shared" si="19"/>
        <v>242.68130826131224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371.72681950920446</v>
      </c>
      <c r="O35" s="1">
        <f t="shared" si="10"/>
        <v>439.59398611005111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10">
        <f t="shared" si="22"/>
        <v>4.0446884710218702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413.02979945467166</v>
      </c>
      <c r="O36" s="1">
        <f t="shared" si="10"/>
        <v>488.43776234450127</v>
      </c>
    </row>
    <row r="37" spans="1:16" ht="14.45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454.3327794001388</v>
      </c>
      <c r="O37" s="1">
        <f t="shared" si="10"/>
        <v>537.28153857895143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495.63575934560595</v>
      </c>
      <c r="O38" s="1">
        <f t="shared" si="10"/>
        <v>586.12531481340147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536.93873929107315</v>
      </c>
      <c r="O39" s="1">
        <f t="shared" si="10"/>
        <v>634.96909104785163</v>
      </c>
    </row>
    <row r="40" spans="1:16">
      <c r="C40" s="1">
        <v>343837.49999999994</v>
      </c>
      <c r="M40" s="1">
        <v>15</v>
      </c>
      <c r="O40" s="1">
        <f t="shared" si="10"/>
        <v>683.8128672823018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5" t="s">
        <v>73</v>
      </c>
      <c r="N44" s="216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5" t="s">
        <v>78</v>
      </c>
      <c r="B48" s="223"/>
      <c r="C48" s="223"/>
      <c r="D48" s="223"/>
      <c r="E48" s="223"/>
      <c r="F48" s="224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5" t="s">
        <v>73</v>
      </c>
      <c r="N59" s="216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5" t="s">
        <v>73</v>
      </c>
      <c r="N74" s="216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 ht="14.45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 ht="14.45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 ht="14.45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 ht="14.45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 ht="14.45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 ht="14.45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 ht="14.45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 ht="14.45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 ht="14.45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 ht="14.45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 ht="14.45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 ht="14.45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 ht="14.45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 ht="14.45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 ht="14.45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 ht="14.45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 ht="14.45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 ht="14.45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 ht="14.45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 ht="14.45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 ht="14.45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 ht="14.45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 ht="14.45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 ht="14.45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 ht="14.45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 ht="14.45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topLeftCell="A124"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13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28"/>
      <c r="S22" s="228"/>
      <c r="T22" s="228"/>
      <c r="U22" s="228"/>
      <c r="V22" s="228"/>
      <c r="W22" s="228"/>
      <c r="Z22" s="228"/>
      <c r="AA22" s="228"/>
      <c r="AB22" s="228"/>
      <c r="AC22" s="228"/>
      <c r="AD22" s="228"/>
      <c r="AE22" s="228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6"/>
  <sheetViews>
    <sheetView tabSelected="1" zoomScaleNormal="100" workbookViewId="0">
      <selection activeCell="D6" sqref="D6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>
      <c r="A1" s="217" t="s">
        <v>0</v>
      </c>
      <c r="B1" s="218"/>
      <c r="C1" s="226"/>
      <c r="D1" s="226"/>
      <c r="E1" s="218"/>
      <c r="F1" s="218"/>
      <c r="G1" s="218"/>
      <c r="H1" s="218"/>
      <c r="I1" s="218"/>
      <c r="J1" s="218"/>
      <c r="K1" s="218"/>
      <c r="L1" s="219"/>
    </row>
    <row r="2" spans="1:15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5" ht="14.45">
      <c r="A3" s="94">
        <v>0</v>
      </c>
      <c r="B3" s="183">
        <v>17</v>
      </c>
      <c r="C3" s="183" t="s">
        <v>14</v>
      </c>
      <c r="D3" s="183">
        <v>1500</v>
      </c>
      <c r="E3" s="183">
        <f>D3</f>
        <v>1500</v>
      </c>
      <c r="F3" s="172">
        <v>10</v>
      </c>
      <c r="G3" s="99">
        <v>2</v>
      </c>
      <c r="H3" s="99">
        <v>5</v>
      </c>
      <c r="I3" s="100">
        <v>5</v>
      </c>
      <c r="J3" s="10">
        <f t="shared" ref="J3:J15" si="0">E3*0.16*6.38^2/(F3*G3*H3*I3*M3)</f>
        <v>13.025408000000001</v>
      </c>
      <c r="K3" s="10">
        <f t="shared" ref="K3:K15" si="1">F3/857*1000</f>
        <v>11.668611435239207</v>
      </c>
      <c r="L3" s="10">
        <f t="shared" ref="L3:L15" si="2">G3/130*1000</f>
        <v>15.384615384615385</v>
      </c>
      <c r="M3" s="12">
        <v>1.5</v>
      </c>
    </row>
    <row r="4" spans="1:15" ht="14.45">
      <c r="A4" s="185">
        <f>B4-$B$3</f>
        <v>0</v>
      </c>
      <c r="B4" s="183">
        <v>17</v>
      </c>
      <c r="C4" s="183" t="s">
        <v>17</v>
      </c>
      <c r="D4" s="183">
        <v>290</v>
      </c>
      <c r="E4" s="183">
        <f>E3</f>
        <v>1500</v>
      </c>
      <c r="F4" s="173">
        <f>F3</f>
        <v>10</v>
      </c>
      <c r="G4" s="102">
        <f t="shared" ref="G4:I4" si="3">G3</f>
        <v>2</v>
      </c>
      <c r="H4" s="102">
        <f t="shared" si="3"/>
        <v>5</v>
      </c>
      <c r="I4" s="103">
        <f t="shared" si="3"/>
        <v>5</v>
      </c>
      <c r="J4" s="10">
        <f t="shared" si="0"/>
        <v>13.025408000000001</v>
      </c>
      <c r="K4" s="10">
        <f t="shared" si="1"/>
        <v>11.668611435239207</v>
      </c>
      <c r="L4" s="10">
        <f t="shared" si="2"/>
        <v>15.384615384615385</v>
      </c>
      <c r="M4" s="12">
        <v>1.5</v>
      </c>
      <c r="O4" s="9"/>
    </row>
    <row r="5" spans="1:15" ht="14.45">
      <c r="A5" s="90">
        <f>B5-$B$3</f>
        <v>0</v>
      </c>
      <c r="B5" s="173">
        <f>B4</f>
        <v>17</v>
      </c>
      <c r="C5" s="180" t="s">
        <v>17</v>
      </c>
      <c r="D5" s="180">
        <v>2400</v>
      </c>
      <c r="E5" s="175">
        <f>IFERROR(D5*E4/D4,0)</f>
        <v>12413.793103448275</v>
      </c>
      <c r="F5" s="191">
        <v>10</v>
      </c>
      <c r="G5" s="92">
        <v>2</v>
      </c>
      <c r="H5" s="92">
        <v>15</v>
      </c>
      <c r="I5" s="93">
        <v>15</v>
      </c>
      <c r="J5" s="10">
        <f t="shared" si="0"/>
        <v>11.977386666666666</v>
      </c>
      <c r="K5" s="10">
        <f t="shared" si="1"/>
        <v>11.668611435239207</v>
      </c>
      <c r="L5" s="10">
        <f t="shared" si="2"/>
        <v>15.384615384615385</v>
      </c>
      <c r="M5" s="12">
        <v>1.5</v>
      </c>
    </row>
    <row r="6" spans="1:15" ht="14.45">
      <c r="A6" s="94">
        <f t="shared" ref="A6:A15" si="4">B6-$B$3</f>
        <v>11</v>
      </c>
      <c r="B6" s="172">
        <v>28</v>
      </c>
      <c r="C6" s="180" t="s">
        <v>17</v>
      </c>
      <c r="D6" s="180"/>
      <c r="E6" s="176">
        <f>E5</f>
        <v>12413.793103448275</v>
      </c>
      <c r="F6" s="192">
        <f>F5</f>
        <v>10</v>
      </c>
      <c r="G6" s="96">
        <f t="shared" ref="G6:I6" si="5">G5</f>
        <v>2</v>
      </c>
      <c r="H6" s="96">
        <f t="shared" si="5"/>
        <v>15</v>
      </c>
      <c r="I6" s="97">
        <f t="shared" si="5"/>
        <v>15</v>
      </c>
      <c r="J6" s="10">
        <f t="shared" si="0"/>
        <v>11.977386666666666</v>
      </c>
      <c r="K6" s="10">
        <f t="shared" si="1"/>
        <v>11.668611435239207</v>
      </c>
      <c r="L6" s="10">
        <f t="shared" si="2"/>
        <v>15.384615384615385</v>
      </c>
      <c r="M6" s="12">
        <v>1.5</v>
      </c>
    </row>
    <row r="7" spans="1:15" ht="14.45">
      <c r="A7" s="90">
        <f t="shared" si="4"/>
        <v>11</v>
      </c>
      <c r="B7" s="173">
        <v>28</v>
      </c>
      <c r="C7" s="180" t="s">
        <v>17</v>
      </c>
      <c r="D7" s="180"/>
      <c r="E7" s="177">
        <v>814127.90697674418</v>
      </c>
      <c r="F7" s="99">
        <v>4</v>
      </c>
      <c r="G7" s="99">
        <v>16</v>
      </c>
      <c r="H7" s="99">
        <v>35</v>
      </c>
      <c r="I7" s="100">
        <v>55</v>
      </c>
      <c r="J7" s="10">
        <f t="shared" si="0"/>
        <v>28.691418161683277</v>
      </c>
      <c r="K7" s="10">
        <f t="shared" si="1"/>
        <v>4.6674445740956818</v>
      </c>
      <c r="L7" s="10">
        <f t="shared" si="2"/>
        <v>123.07692307692308</v>
      </c>
      <c r="M7" s="12">
        <v>1.5</v>
      </c>
    </row>
    <row r="8" spans="1:15" ht="14.45">
      <c r="A8" s="94">
        <f t="shared" si="4"/>
        <v>19</v>
      </c>
      <c r="B8" s="172">
        <v>36</v>
      </c>
      <c r="C8" s="180" t="s">
        <v>17</v>
      </c>
      <c r="D8" s="180"/>
      <c r="E8" s="178">
        <f>E7</f>
        <v>814127.90697674418</v>
      </c>
      <c r="F8" s="173">
        <f>F7</f>
        <v>4</v>
      </c>
      <c r="G8" s="102">
        <f t="shared" ref="G8:I14" si="6">G7</f>
        <v>16</v>
      </c>
      <c r="H8" s="102">
        <f t="shared" si="6"/>
        <v>35</v>
      </c>
      <c r="I8" s="103">
        <f t="shared" si="6"/>
        <v>55</v>
      </c>
      <c r="J8" s="10">
        <f t="shared" si="0"/>
        <v>28.691418161683277</v>
      </c>
      <c r="K8" s="10">
        <f t="shared" si="1"/>
        <v>4.6674445740956818</v>
      </c>
      <c r="L8" s="10">
        <f t="shared" si="2"/>
        <v>123.07692307692308</v>
      </c>
      <c r="M8" s="12">
        <v>1.5</v>
      </c>
    </row>
    <row r="9" spans="1:15" ht="14.45">
      <c r="A9" s="90">
        <f t="shared" si="4"/>
        <v>11</v>
      </c>
      <c r="B9" s="173">
        <v>28</v>
      </c>
      <c r="C9" s="180" t="s">
        <v>18</v>
      </c>
      <c r="D9" s="180"/>
      <c r="E9" s="177">
        <f>IFERROR(D9*E8/D8,0)</f>
        <v>0</v>
      </c>
      <c r="F9" s="172">
        <v>10</v>
      </c>
      <c r="G9" s="99">
        <v>8</v>
      </c>
      <c r="H9" s="99">
        <v>30</v>
      </c>
      <c r="I9" s="100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5" ht="14.45">
      <c r="A10" s="94">
        <f t="shared" si="4"/>
        <v>16</v>
      </c>
      <c r="B10" s="172">
        <v>33</v>
      </c>
      <c r="C10" s="180" t="s">
        <v>18</v>
      </c>
      <c r="D10" s="180"/>
      <c r="E10" s="178">
        <f>E9</f>
        <v>0</v>
      </c>
      <c r="F10" s="173">
        <f>F9</f>
        <v>10</v>
      </c>
      <c r="G10" s="102">
        <f t="shared" si="6"/>
        <v>8</v>
      </c>
      <c r="H10" s="102">
        <f t="shared" si="6"/>
        <v>30</v>
      </c>
      <c r="I10" s="103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5" ht="14.45">
      <c r="A11" s="90">
        <f t="shared" si="4"/>
        <v>16</v>
      </c>
      <c r="B11" s="173">
        <v>33</v>
      </c>
      <c r="C11" s="180" t="s">
        <v>17</v>
      </c>
      <c r="D11" s="180"/>
      <c r="E11" s="177">
        <f>IFERROR(D11*E10/D10,0)</f>
        <v>0</v>
      </c>
      <c r="F11" s="172">
        <v>4</v>
      </c>
      <c r="G11" s="99">
        <v>20</v>
      </c>
      <c r="H11" s="99">
        <v>40</v>
      </c>
      <c r="I11" s="100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5" ht="14.45">
      <c r="A12" s="94">
        <f t="shared" si="4"/>
        <v>19</v>
      </c>
      <c r="B12" s="172">
        <v>36</v>
      </c>
      <c r="C12" s="180" t="s">
        <v>22</v>
      </c>
      <c r="D12" s="180"/>
      <c r="E12" s="178">
        <f>E11</f>
        <v>0</v>
      </c>
      <c r="F12" s="173">
        <f>F11</f>
        <v>4</v>
      </c>
      <c r="G12" s="102">
        <f t="shared" si="6"/>
        <v>20</v>
      </c>
      <c r="H12" s="102">
        <f t="shared" si="6"/>
        <v>40</v>
      </c>
      <c r="I12" s="103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5" ht="14.45">
      <c r="A13" s="90">
        <f t="shared" si="4"/>
        <v>23</v>
      </c>
      <c r="B13" s="173">
        <v>40</v>
      </c>
      <c r="C13" s="180" t="s">
        <v>24</v>
      </c>
      <c r="D13" s="180">
        <v>0</v>
      </c>
      <c r="E13" s="177">
        <f>IFERROR(D13*E12/D12,0)</f>
        <v>0</v>
      </c>
      <c r="F13" s="172">
        <v>10</v>
      </c>
      <c r="G13" s="99">
        <v>30</v>
      </c>
      <c r="H13" s="99">
        <v>50</v>
      </c>
      <c r="I13" s="100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5" ht="14.45">
      <c r="A14" s="94">
        <f t="shared" si="4"/>
        <v>27</v>
      </c>
      <c r="B14" s="172">
        <v>44</v>
      </c>
      <c r="C14" s="180" t="s">
        <v>24</v>
      </c>
      <c r="D14" s="180">
        <v>0</v>
      </c>
      <c r="E14" s="178">
        <f>E13</f>
        <v>0</v>
      </c>
      <c r="F14" s="173">
        <f>F13</f>
        <v>10</v>
      </c>
      <c r="G14" s="102">
        <f t="shared" si="6"/>
        <v>30</v>
      </c>
      <c r="H14" s="102">
        <f t="shared" si="6"/>
        <v>50</v>
      </c>
      <c r="I14" s="103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5" thickBot="1">
      <c r="A15" s="90">
        <f t="shared" si="4"/>
        <v>27</v>
      </c>
      <c r="B15" s="173">
        <v>44</v>
      </c>
      <c r="C15" s="180" t="s">
        <v>24</v>
      </c>
      <c r="D15" s="180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>
      <c r="D16" s="9"/>
      <c r="I16" s="10"/>
      <c r="J16" s="10"/>
      <c r="K16" s="10"/>
    </row>
    <row r="17" spans="1:18" ht="15.75" thickBot="1">
      <c r="A17" s="227" t="s">
        <v>25</v>
      </c>
      <c r="B17" s="227"/>
      <c r="C17" s="227"/>
      <c r="D17" s="180" t="s">
        <v>15</v>
      </c>
      <c r="E17" s="180" t="s">
        <v>16</v>
      </c>
      <c r="F17" s="152" t="s">
        <v>156</v>
      </c>
      <c r="G17" s="223" t="s">
        <v>26</v>
      </c>
      <c r="H17" s="224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201">
        <f>MAX(E3:E15)*1.6E-19</f>
        <v>1.3026046511627906E-13</v>
      </c>
      <c r="E18" s="202">
        <f>D18*1000000000</f>
        <v>1.3026046511627906E-4</v>
      </c>
      <c r="F18" s="202">
        <f>E18*2</f>
        <v>2.6052093023255812E-4</v>
      </c>
      <c r="G18" s="8" t="s">
        <v>30</v>
      </c>
      <c r="H18" s="194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12.3962</v>
      </c>
      <c r="C19" s="154">
        <v>10.4824</v>
      </c>
      <c r="F19" s="9"/>
      <c r="G19" s="18" t="s">
        <v>33</v>
      </c>
      <c r="H19" s="193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39</v>
      </c>
      <c r="C20" s="154">
        <v>183</v>
      </c>
      <c r="F20" s="9"/>
      <c r="G20" s="19" t="s">
        <v>36</v>
      </c>
      <c r="H20" s="195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4">
        <f>B20/1000</f>
        <v>3.9E-2</v>
      </c>
      <c r="C21" s="204">
        <f>C20/1000</f>
        <v>0.183</v>
      </c>
      <c r="I21" s="134"/>
      <c r="J21" t="s">
        <v>164</v>
      </c>
      <c r="N21"/>
      <c r="O21" s="27"/>
      <c r="P21" s="27"/>
    </row>
    <row r="22" spans="1:18">
      <c r="A22" s="227" t="s">
        <v>186</v>
      </c>
      <c r="B22" s="227"/>
      <c r="C22" s="227"/>
      <c r="D22" s="227"/>
      <c r="E22" s="227"/>
      <c r="F22" s="227"/>
      <c r="G22" s="180"/>
      <c r="H22" s="9"/>
      <c r="N22"/>
      <c r="O22"/>
      <c r="P22"/>
    </row>
    <row r="23" spans="1:18">
      <c r="A23" s="166" t="s">
        <v>42</v>
      </c>
      <c r="B23" s="166" t="s">
        <v>187</v>
      </c>
      <c r="C23" s="166" t="s">
        <v>188</v>
      </c>
      <c r="D23" s="166" t="s">
        <v>189</v>
      </c>
      <c r="E23" s="166" t="s">
        <v>190</v>
      </c>
      <c r="F23" s="166" t="s">
        <v>191</v>
      </c>
      <c r="G23" s="166" t="s">
        <v>192</v>
      </c>
      <c r="H23" s="166" t="s">
        <v>193</v>
      </c>
      <c r="I23" s="166" t="s">
        <v>194</v>
      </c>
      <c r="J23" s="166" t="s">
        <v>195</v>
      </c>
      <c r="K23" s="166" t="s">
        <v>196</v>
      </c>
      <c r="L23" s="166" t="s">
        <v>197</v>
      </c>
      <c r="M23" s="166" t="s">
        <v>198</v>
      </c>
      <c r="N23" s="166" t="s">
        <v>199</v>
      </c>
      <c r="O23" s="166" t="s">
        <v>200</v>
      </c>
      <c r="P23" s="166" t="s">
        <v>201</v>
      </c>
      <c r="Q23" s="166" t="s">
        <v>202</v>
      </c>
      <c r="R23" s="166" t="s">
        <v>203</v>
      </c>
    </row>
    <row r="24" spans="1:18">
      <c r="A24" s="166" t="s">
        <v>54</v>
      </c>
      <c r="B24" s="166">
        <v>256</v>
      </c>
      <c r="C24" s="166">
        <v>512</v>
      </c>
      <c r="D24" s="166">
        <v>1024</v>
      </c>
      <c r="E24" s="166">
        <v>2048</v>
      </c>
      <c r="F24" s="166">
        <v>512</v>
      </c>
      <c r="G24" s="166">
        <v>512</v>
      </c>
      <c r="H24" s="166">
        <v>512</v>
      </c>
      <c r="I24" s="166">
        <v>512</v>
      </c>
      <c r="J24" s="166">
        <v>512</v>
      </c>
      <c r="K24" s="166">
        <v>512</v>
      </c>
      <c r="L24" s="166">
        <v>512</v>
      </c>
      <c r="M24" s="166">
        <v>512</v>
      </c>
      <c r="N24" s="166">
        <v>512</v>
      </c>
      <c r="O24" s="166">
        <v>512</v>
      </c>
      <c r="P24" s="166">
        <v>512</v>
      </c>
      <c r="Q24" s="166">
        <v>512</v>
      </c>
      <c r="R24" s="166">
        <v>512</v>
      </c>
    </row>
    <row r="25" spans="1:18">
      <c r="A25" s="203" t="s">
        <v>204</v>
      </c>
      <c r="B25" s="196">
        <f t="shared" ref="B25:R25" si="7">MAX($E$3:$E$15)*2</f>
        <v>1628255.8139534884</v>
      </c>
      <c r="C25" s="196">
        <f t="shared" si="7"/>
        <v>1628255.8139534884</v>
      </c>
      <c r="D25" s="196">
        <f t="shared" si="7"/>
        <v>1628255.8139534884</v>
      </c>
      <c r="E25" s="196">
        <f t="shared" si="7"/>
        <v>1628255.8139534884</v>
      </c>
      <c r="F25" s="196">
        <f t="shared" si="7"/>
        <v>1628255.8139534884</v>
      </c>
      <c r="G25" s="196">
        <f t="shared" si="7"/>
        <v>1628255.8139534884</v>
      </c>
      <c r="H25" s="196">
        <f t="shared" si="7"/>
        <v>1628255.8139534884</v>
      </c>
      <c r="I25" s="196">
        <f t="shared" si="7"/>
        <v>1628255.8139534884</v>
      </c>
      <c r="J25" s="196">
        <f t="shared" si="7"/>
        <v>1628255.8139534884</v>
      </c>
      <c r="K25" s="196">
        <f t="shared" si="7"/>
        <v>1628255.8139534884</v>
      </c>
      <c r="L25" s="196">
        <f t="shared" si="7"/>
        <v>1628255.8139534884</v>
      </c>
      <c r="M25" s="196">
        <f t="shared" si="7"/>
        <v>1628255.8139534884</v>
      </c>
      <c r="N25" s="196">
        <f t="shared" si="7"/>
        <v>1628255.8139534884</v>
      </c>
      <c r="O25" s="196">
        <f t="shared" si="7"/>
        <v>1628255.8139534884</v>
      </c>
      <c r="P25" s="196">
        <f t="shared" si="7"/>
        <v>1628255.8139534884</v>
      </c>
      <c r="Q25" s="196">
        <f t="shared" si="7"/>
        <v>1628255.8139534884</v>
      </c>
      <c r="R25" s="196">
        <f t="shared" si="7"/>
        <v>1628255.8139534884</v>
      </c>
    </row>
    <row r="26" spans="1:18">
      <c r="A26" s="166" t="s">
        <v>72</v>
      </c>
      <c r="B26" s="211">
        <v>400000</v>
      </c>
      <c r="C26" s="211">
        <v>400000</v>
      </c>
      <c r="D26" s="211">
        <v>400000</v>
      </c>
      <c r="E26" s="211">
        <v>400000</v>
      </c>
      <c r="F26" s="211">
        <v>400000</v>
      </c>
      <c r="G26" s="211">
        <v>500000</v>
      </c>
      <c r="H26" s="211">
        <v>450000</v>
      </c>
      <c r="I26" s="211">
        <v>400000</v>
      </c>
      <c r="J26" s="211">
        <v>350000</v>
      </c>
      <c r="K26" s="211">
        <v>300000</v>
      </c>
      <c r="L26" s="211">
        <v>250000</v>
      </c>
      <c r="M26" s="211">
        <v>200000</v>
      </c>
      <c r="N26" s="211">
        <v>150000</v>
      </c>
      <c r="O26" s="211">
        <v>100000</v>
      </c>
      <c r="P26" s="211">
        <v>50000</v>
      </c>
      <c r="Q26" s="211">
        <v>400000</v>
      </c>
      <c r="R26" s="211">
        <v>400000</v>
      </c>
    </row>
    <row r="27" spans="1:18">
      <c r="A27" s="180" t="s">
        <v>71</v>
      </c>
      <c r="B27" s="196">
        <f t="shared" ref="B27:G27" si="8">B25/B26</f>
        <v>4.0706395348837212</v>
      </c>
      <c r="C27" s="196">
        <f t="shared" si="8"/>
        <v>4.0706395348837212</v>
      </c>
      <c r="D27" s="196">
        <f t="shared" si="8"/>
        <v>4.0706395348837212</v>
      </c>
      <c r="E27" s="196">
        <f t="shared" si="8"/>
        <v>4.0706395348837212</v>
      </c>
      <c r="F27" s="196">
        <f t="shared" si="8"/>
        <v>4.0706395348837212</v>
      </c>
      <c r="G27" s="196">
        <f t="shared" si="8"/>
        <v>3.2565116279069768</v>
      </c>
      <c r="H27" s="196">
        <f t="shared" ref="H27" si="9">H25/H26</f>
        <v>3.6183462532299742</v>
      </c>
      <c r="I27" s="196">
        <f t="shared" ref="I27" si="10">I25/I26</f>
        <v>4.0706395348837212</v>
      </c>
      <c r="J27" s="196">
        <f t="shared" ref="J27" si="11">J25/J26</f>
        <v>4.6521594684385379</v>
      </c>
      <c r="K27" s="196">
        <f t="shared" ref="K27" si="12">K25/K26</f>
        <v>5.427519379844961</v>
      </c>
      <c r="L27" s="196">
        <f t="shared" ref="L27" si="13">L25/L26</f>
        <v>6.5130232558139536</v>
      </c>
      <c r="M27" s="196">
        <f t="shared" ref="M27" si="14">M25/M26</f>
        <v>8.1412790697674424</v>
      </c>
      <c r="N27" s="196">
        <f t="shared" ref="N27" si="15">N25/N26</f>
        <v>10.855038759689922</v>
      </c>
      <c r="O27" s="196">
        <f t="shared" ref="O27" si="16">O25/O26</f>
        <v>16.282558139534885</v>
      </c>
      <c r="P27" s="196">
        <f t="shared" ref="P27:R27" si="17">P25/P26</f>
        <v>32.56511627906977</v>
      </c>
      <c r="Q27" s="196">
        <f>Q25/Q26</f>
        <v>4.0706395348837212</v>
      </c>
      <c r="R27" s="196">
        <f t="shared" si="17"/>
        <v>4.0706395348837212</v>
      </c>
    </row>
    <row r="28" spans="1:18">
      <c r="A28" s="180" t="s">
        <v>70</v>
      </c>
      <c r="B28" s="196">
        <f t="shared" ref="B28:G28" si="18">B27/1000</f>
        <v>4.0706395348837215E-3</v>
      </c>
      <c r="C28" s="196">
        <f t="shared" si="18"/>
        <v>4.0706395348837215E-3</v>
      </c>
      <c r="D28" s="196">
        <f t="shared" si="18"/>
        <v>4.0706395348837215E-3</v>
      </c>
      <c r="E28" s="196">
        <f t="shared" si="18"/>
        <v>4.0706395348837215E-3</v>
      </c>
      <c r="F28" s="196">
        <f t="shared" si="18"/>
        <v>4.0706395348837215E-3</v>
      </c>
      <c r="G28" s="196">
        <f t="shared" si="18"/>
        <v>3.256511627906977E-3</v>
      </c>
      <c r="H28" s="196">
        <f t="shared" ref="H28" si="19">H27/1000</f>
        <v>3.618346253229974E-3</v>
      </c>
      <c r="I28" s="196">
        <f t="shared" ref="I28" si="20">I27/1000</f>
        <v>4.0706395348837215E-3</v>
      </c>
      <c r="J28" s="196">
        <f t="shared" ref="J28" si="21">J27/1000</f>
        <v>4.6521594684385383E-3</v>
      </c>
      <c r="K28" s="196">
        <f t="shared" ref="K28" si="22">K27/1000</f>
        <v>5.4275193798449606E-3</v>
      </c>
      <c r="L28" s="196">
        <f t="shared" ref="L28" si="23">L27/1000</f>
        <v>6.513023255813954E-3</v>
      </c>
      <c r="M28" s="196">
        <f t="shared" ref="M28" si="24">M27/1000</f>
        <v>8.1412790697674431E-3</v>
      </c>
      <c r="N28" s="196">
        <f t="shared" ref="N28" si="25">N27/1000</f>
        <v>1.0855038759689921E-2</v>
      </c>
      <c r="O28" s="196">
        <f t="shared" ref="O28" si="26">O27/1000</f>
        <v>1.6282558139534886E-2</v>
      </c>
      <c r="P28" s="196">
        <f t="shared" ref="P28:R28" si="27">P27/1000</f>
        <v>3.2565116279069772E-2</v>
      </c>
      <c r="Q28" s="196">
        <f>Q27/1000</f>
        <v>4.0706395348837215E-3</v>
      </c>
      <c r="R28" s="196">
        <f t="shared" si="27"/>
        <v>4.0706395348837215E-3</v>
      </c>
    </row>
    <row r="29" spans="1:18">
      <c r="A29" s="154" t="s">
        <v>205</v>
      </c>
      <c r="B29" s="166">
        <v>0</v>
      </c>
      <c r="C29" s="166">
        <v>0</v>
      </c>
      <c r="D29" s="166">
        <v>0</v>
      </c>
      <c r="E29" s="166">
        <v>0</v>
      </c>
      <c r="F29" s="166">
        <v>0</v>
      </c>
      <c r="G29" s="166">
        <v>0</v>
      </c>
      <c r="H29" s="166">
        <v>0</v>
      </c>
      <c r="I29" s="166">
        <v>0</v>
      </c>
      <c r="J29" s="166">
        <v>0</v>
      </c>
      <c r="K29" s="166">
        <v>0</v>
      </c>
      <c r="L29" s="166">
        <v>0</v>
      </c>
      <c r="M29" s="166">
        <v>0</v>
      </c>
      <c r="N29" s="166">
        <v>0</v>
      </c>
      <c r="O29" s="166">
        <v>0</v>
      </c>
      <c r="P29" s="166">
        <v>0</v>
      </c>
      <c r="Q29" s="166">
        <v>0</v>
      </c>
      <c r="R29" s="166">
        <v>0</v>
      </c>
    </row>
    <row r="30" spans="1:18">
      <c r="A30" s="180" t="s">
        <v>206</v>
      </c>
      <c r="B30" s="180">
        <f>$B$19/B24/1000</f>
        <v>4.8422656249999998E-5</v>
      </c>
      <c r="C30" s="180">
        <f t="shared" ref="C30:R30" si="28">$B$19/C24/1000</f>
        <v>2.4211328124999999E-5</v>
      </c>
      <c r="D30" s="180">
        <f t="shared" si="28"/>
        <v>1.21056640625E-5</v>
      </c>
      <c r="E30" s="180">
        <f t="shared" si="28"/>
        <v>6.0528320312499998E-6</v>
      </c>
      <c r="F30" s="180">
        <f t="shared" si="28"/>
        <v>2.4211328124999999E-5</v>
      </c>
      <c r="G30" s="180">
        <f t="shared" si="28"/>
        <v>2.4211328124999999E-5</v>
      </c>
      <c r="H30" s="180">
        <f t="shared" si="28"/>
        <v>2.4211328124999999E-5</v>
      </c>
      <c r="I30" s="180">
        <f t="shared" si="28"/>
        <v>2.4211328124999999E-5</v>
      </c>
      <c r="J30" s="180">
        <f t="shared" si="28"/>
        <v>2.4211328124999999E-5</v>
      </c>
      <c r="K30" s="180">
        <f t="shared" si="28"/>
        <v>2.4211328124999999E-5</v>
      </c>
      <c r="L30" s="180">
        <f t="shared" si="28"/>
        <v>2.4211328124999999E-5</v>
      </c>
      <c r="M30" s="180">
        <f t="shared" si="28"/>
        <v>2.4211328124999999E-5</v>
      </c>
      <c r="N30" s="180">
        <f t="shared" si="28"/>
        <v>2.4211328124999999E-5</v>
      </c>
      <c r="O30" s="180">
        <f t="shared" si="28"/>
        <v>2.4211328124999999E-5</v>
      </c>
      <c r="P30" s="180">
        <f t="shared" si="28"/>
        <v>2.4211328124999999E-5</v>
      </c>
      <c r="Q30" s="180">
        <f t="shared" si="28"/>
        <v>2.4211328124999999E-5</v>
      </c>
      <c r="R30" s="180">
        <f t="shared" si="28"/>
        <v>2.4211328124999999E-5</v>
      </c>
    </row>
    <row r="31" spans="1:18">
      <c r="A31" s="180" t="s">
        <v>207</v>
      </c>
      <c r="B31" s="180">
        <f>$C$19/B24/1000</f>
        <v>4.0946874999999997E-5</v>
      </c>
      <c r="C31" s="180">
        <f t="shared" ref="C31:R31" si="29">$C$19/C24/1000</f>
        <v>2.0473437499999999E-5</v>
      </c>
      <c r="D31" s="180">
        <f t="shared" si="29"/>
        <v>1.0236718749999999E-5</v>
      </c>
      <c r="E31" s="180">
        <f t="shared" si="29"/>
        <v>5.1183593749999997E-6</v>
      </c>
      <c r="F31" s="180">
        <f t="shared" si="29"/>
        <v>2.0473437499999999E-5</v>
      </c>
      <c r="G31" s="180">
        <f t="shared" si="29"/>
        <v>2.0473437499999999E-5</v>
      </c>
      <c r="H31" s="180">
        <f t="shared" si="29"/>
        <v>2.0473437499999999E-5</v>
      </c>
      <c r="I31" s="180">
        <f t="shared" si="29"/>
        <v>2.0473437499999999E-5</v>
      </c>
      <c r="J31" s="180">
        <f t="shared" si="29"/>
        <v>2.0473437499999999E-5</v>
      </c>
      <c r="K31" s="180">
        <f t="shared" si="29"/>
        <v>2.0473437499999999E-5</v>
      </c>
      <c r="L31" s="180">
        <f t="shared" si="29"/>
        <v>2.0473437499999999E-5</v>
      </c>
      <c r="M31" s="180">
        <f t="shared" si="29"/>
        <v>2.0473437499999999E-5</v>
      </c>
      <c r="N31" s="180">
        <f t="shared" si="29"/>
        <v>2.0473437499999999E-5</v>
      </c>
      <c r="O31" s="180">
        <f t="shared" si="29"/>
        <v>2.0473437499999999E-5</v>
      </c>
      <c r="P31" s="180">
        <f t="shared" si="29"/>
        <v>2.0473437499999999E-5</v>
      </c>
      <c r="Q31" s="180">
        <f t="shared" si="29"/>
        <v>2.0473437499999999E-5</v>
      </c>
      <c r="R31" s="180">
        <f t="shared" si="29"/>
        <v>2.0473437499999999E-5</v>
      </c>
    </row>
    <row r="32" spans="1:18">
      <c r="A32" s="190" t="s">
        <v>208</v>
      </c>
      <c r="B32" s="212">
        <f t="shared" ref="B32:G32" si="30">B28/IF(B29,B30,B31)</f>
        <v>99.412703286483321</v>
      </c>
      <c r="C32" s="212">
        <f t="shared" si="30"/>
        <v>198.82540657296664</v>
      </c>
      <c r="D32" s="212">
        <f t="shared" si="30"/>
        <v>397.65081314593328</v>
      </c>
      <c r="E32" s="212">
        <f t="shared" si="30"/>
        <v>795.30162629186657</v>
      </c>
      <c r="F32" s="212">
        <f t="shared" si="30"/>
        <v>198.82540657296664</v>
      </c>
      <c r="G32" s="212">
        <f t="shared" si="30"/>
        <v>159.0603252583733</v>
      </c>
      <c r="H32" s="212">
        <f t="shared" ref="H32" si="31">H28/IF(H29,H30,H31)</f>
        <v>176.73369473152587</v>
      </c>
      <c r="I32" s="212">
        <f t="shared" ref="I32" si="32">I28/IF(I29,I30,I31)</f>
        <v>198.82540657296664</v>
      </c>
      <c r="J32" s="212">
        <f t="shared" ref="J32" si="33">J28/IF(J29,J30,J31)</f>
        <v>227.22903608339041</v>
      </c>
      <c r="K32" s="212">
        <f t="shared" ref="K32" si="34">K28/IF(K29,K30,K31)</f>
        <v>265.10054209728878</v>
      </c>
      <c r="L32" s="212">
        <f t="shared" ref="L32" si="35">L28/IF(L29,L30,L31)</f>
        <v>318.12065051674659</v>
      </c>
      <c r="M32" s="212">
        <f t="shared" ref="M32" si="36">M28/IF(M29,M30,M31)</f>
        <v>397.65081314593328</v>
      </c>
      <c r="N32" s="212">
        <f t="shared" ref="N32" si="37">N28/IF(N29,N30,N31)</f>
        <v>530.20108419457756</v>
      </c>
      <c r="O32" s="212">
        <f t="shared" ref="O32" si="38">O28/IF(O29,O30,O31)</f>
        <v>795.30162629186657</v>
      </c>
      <c r="P32" s="212">
        <f t="shared" ref="P32:R32" si="39">P28/IF(P29,P30,P31)</f>
        <v>1590.6032525837331</v>
      </c>
      <c r="Q32" s="212">
        <f>Q28/IF(Q29,Q30,Q31)</f>
        <v>198.82540657296664</v>
      </c>
      <c r="R32" s="212">
        <f t="shared" si="39"/>
        <v>198.82540657296664</v>
      </c>
    </row>
    <row r="33" spans="1:19">
      <c r="A33" s="180" t="s">
        <v>64</v>
      </c>
      <c r="B33" s="197">
        <f t="shared" ref="B33:G33" si="40">1/B32</f>
        <v>1.005907662643719E-2</v>
      </c>
      <c r="C33" s="197">
        <f t="shared" si="40"/>
        <v>5.0295383132185952E-3</v>
      </c>
      <c r="D33" s="197">
        <f t="shared" si="40"/>
        <v>2.5147691566092976E-3</v>
      </c>
      <c r="E33" s="197">
        <f t="shared" si="40"/>
        <v>1.2573845783046488E-3</v>
      </c>
      <c r="F33" s="197">
        <f t="shared" si="40"/>
        <v>5.0295383132185952E-3</v>
      </c>
      <c r="G33" s="197">
        <f t="shared" si="40"/>
        <v>6.2869228915232445E-3</v>
      </c>
      <c r="H33" s="197">
        <f t="shared" ref="H33" si="41">1/H32</f>
        <v>5.6582306023709207E-3</v>
      </c>
      <c r="I33" s="197">
        <f t="shared" ref="I33" si="42">1/I32</f>
        <v>5.0295383132185952E-3</v>
      </c>
      <c r="J33" s="197">
        <f t="shared" ref="J33" si="43">1/J32</f>
        <v>4.4008460240662715E-3</v>
      </c>
      <c r="K33" s="197">
        <f t="shared" ref="K33" si="44">1/K32</f>
        <v>3.7721537349139473E-3</v>
      </c>
      <c r="L33" s="197">
        <f t="shared" ref="L33" si="45">1/L32</f>
        <v>3.1434614457616222E-3</v>
      </c>
      <c r="M33" s="197">
        <f t="shared" ref="M33" si="46">1/M32</f>
        <v>2.5147691566092976E-3</v>
      </c>
      <c r="N33" s="197">
        <f t="shared" ref="N33" si="47">1/N32</f>
        <v>1.8860768674569736E-3</v>
      </c>
      <c r="O33" s="197">
        <f t="shared" ref="O33" si="48">1/O32</f>
        <v>1.2573845783046488E-3</v>
      </c>
      <c r="P33" s="197">
        <f t="shared" ref="P33:R33" si="49">1/P32</f>
        <v>6.286922891523244E-4</v>
      </c>
      <c r="Q33" s="197">
        <f>1/Q32</f>
        <v>5.0295383132185952E-3</v>
      </c>
      <c r="R33" s="197">
        <f t="shared" si="49"/>
        <v>5.0295383132185952E-3</v>
      </c>
    </row>
    <row r="34" spans="1:19">
      <c r="A34" s="166" t="s">
        <v>66</v>
      </c>
      <c r="B34" s="166">
        <v>0</v>
      </c>
      <c r="C34" s="166">
        <v>512</v>
      </c>
      <c r="D34" s="166">
        <v>1024</v>
      </c>
      <c r="E34" s="166">
        <f>E24</f>
        <v>2048</v>
      </c>
      <c r="F34" s="166">
        <v>7678</v>
      </c>
      <c r="G34" s="166">
        <v>512</v>
      </c>
      <c r="H34" s="166">
        <v>512</v>
      </c>
      <c r="I34" s="166">
        <v>512</v>
      </c>
      <c r="J34" s="166">
        <v>512</v>
      </c>
      <c r="K34" s="166">
        <v>512</v>
      </c>
      <c r="L34" s="166">
        <v>512</v>
      </c>
      <c r="M34" s="166">
        <v>512</v>
      </c>
      <c r="N34" s="166">
        <v>512</v>
      </c>
      <c r="O34" s="166">
        <v>512</v>
      </c>
      <c r="P34" s="166">
        <v>512</v>
      </c>
      <c r="Q34" s="166">
        <v>2559</v>
      </c>
      <c r="R34" s="166">
        <v>512</v>
      </c>
    </row>
    <row r="35" spans="1:19">
      <c r="A35" s="166" t="s">
        <v>67</v>
      </c>
      <c r="B35" s="166">
        <v>0</v>
      </c>
      <c r="C35" s="166">
        <v>511</v>
      </c>
      <c r="D35" s="166">
        <v>1023</v>
      </c>
      <c r="E35" s="166">
        <v>2051</v>
      </c>
      <c r="F35" s="166">
        <v>4009</v>
      </c>
      <c r="G35" s="166">
        <v>511</v>
      </c>
      <c r="H35" s="166">
        <v>511</v>
      </c>
      <c r="I35" s="166">
        <v>511</v>
      </c>
      <c r="J35" s="166">
        <v>511</v>
      </c>
      <c r="K35" s="166">
        <v>511</v>
      </c>
      <c r="L35" s="166">
        <v>511</v>
      </c>
      <c r="M35" s="166">
        <v>511</v>
      </c>
      <c r="N35" s="166">
        <v>511</v>
      </c>
      <c r="O35" s="166">
        <v>511</v>
      </c>
      <c r="P35" s="166">
        <v>511</v>
      </c>
      <c r="Q35" s="166">
        <v>2870</v>
      </c>
      <c r="R35" s="166">
        <v>511</v>
      </c>
    </row>
    <row r="36" spans="1:19">
      <c r="A36" s="190" t="s">
        <v>68</v>
      </c>
      <c r="B36" s="197">
        <f t="shared" ref="B36:G36" si="50">B33*(B34+B35)</f>
        <v>0</v>
      </c>
      <c r="C36" s="197">
        <f t="shared" si="50"/>
        <v>5.1452176944226231</v>
      </c>
      <c r="D36" s="197">
        <f t="shared" si="50"/>
        <v>5.1477324635792323</v>
      </c>
      <c r="E36" s="197">
        <f t="shared" si="50"/>
        <v>5.1540193864707557</v>
      </c>
      <c r="F36" s="197">
        <f t="shared" si="50"/>
        <v>58.780214266585723</v>
      </c>
      <c r="G36" s="197">
        <f t="shared" si="50"/>
        <v>6.4315221180282789</v>
      </c>
      <c r="H36" s="197">
        <f t="shared" ref="H36" si="51">H33*(H34+H35)</f>
        <v>5.7883699062254514</v>
      </c>
      <c r="I36" s="197">
        <f t="shared" ref="I36" si="52">I33*(I34+I35)</f>
        <v>5.1452176944226231</v>
      </c>
      <c r="J36" s="197">
        <f t="shared" ref="J36" si="53">J33*(J34+J35)</f>
        <v>4.5020654826197957</v>
      </c>
      <c r="K36" s="197">
        <f t="shared" ref="K36" si="54">K33*(K34+K35)</f>
        <v>3.8589132708169682</v>
      </c>
      <c r="L36" s="197">
        <f t="shared" ref="L36" si="55">L33*(L34+L35)</f>
        <v>3.2157610590141394</v>
      </c>
      <c r="M36" s="197">
        <f t="shared" ref="M36" si="56">M33*(M34+M35)</f>
        <v>2.5726088472113116</v>
      </c>
      <c r="N36" s="197">
        <f t="shared" ref="N36" si="57">N33*(N34+N35)</f>
        <v>1.9294566354084841</v>
      </c>
      <c r="O36" s="197">
        <f t="shared" ref="O36" si="58">O33*(O34+O35)</f>
        <v>1.2863044236056558</v>
      </c>
      <c r="P36" s="197">
        <f t="shared" ref="P36:R36" si="59">P33*(P34+P35)</f>
        <v>0.64315221180282789</v>
      </c>
      <c r="Q36" s="197">
        <f>Q33*(Q34+Q35)</f>
        <v>27.305363502463752</v>
      </c>
      <c r="R36" s="197">
        <f t="shared" si="59"/>
        <v>5.1452176944226231</v>
      </c>
    </row>
    <row r="37" spans="1:19">
      <c r="A37" s="180" t="s">
        <v>69</v>
      </c>
      <c r="B37" s="197">
        <f t="shared" ref="B37:G37" si="60">B36/60</f>
        <v>0</v>
      </c>
      <c r="C37" s="197">
        <f t="shared" si="60"/>
        <v>8.575362824037705E-2</v>
      </c>
      <c r="D37" s="197">
        <f t="shared" si="60"/>
        <v>8.5795541059653868E-2</v>
      </c>
      <c r="E37" s="197">
        <f t="shared" si="60"/>
        <v>8.5900323107845927E-2</v>
      </c>
      <c r="F37" s="197">
        <f t="shared" si="60"/>
        <v>0.9796702377764287</v>
      </c>
      <c r="G37" s="197">
        <f t="shared" si="60"/>
        <v>0.10719203530047132</v>
      </c>
      <c r="H37" s="197">
        <f t="shared" ref="H37" si="61">H36/60</f>
        <v>9.6472831770424192E-2</v>
      </c>
      <c r="I37" s="197">
        <f t="shared" ref="I37" si="62">I36/60</f>
        <v>8.575362824037705E-2</v>
      </c>
      <c r="J37" s="197">
        <f t="shared" ref="J37" si="63">J36/60</f>
        <v>7.5034424710329922E-2</v>
      </c>
      <c r="K37" s="197">
        <f t="shared" ref="K37" si="64">K36/60</f>
        <v>6.4315221180282808E-2</v>
      </c>
      <c r="L37" s="197">
        <f t="shared" ref="L37" si="65">L36/60</f>
        <v>5.359601765023566E-2</v>
      </c>
      <c r="M37" s="197">
        <f t="shared" ref="M37" si="66">M36/60</f>
        <v>4.2876814120188525E-2</v>
      </c>
      <c r="N37" s="197">
        <f t="shared" ref="N37" si="67">N36/60</f>
        <v>3.2157610590141404E-2</v>
      </c>
      <c r="O37" s="197">
        <f t="shared" ref="O37" si="68">O36/60</f>
        <v>2.1438407060094263E-2</v>
      </c>
      <c r="P37" s="197">
        <f t="shared" ref="P37:R37" si="69">P36/60</f>
        <v>1.0719203530047131E-2</v>
      </c>
      <c r="Q37" s="197">
        <f>Q36/60</f>
        <v>0.45508939170772922</v>
      </c>
      <c r="R37" s="197">
        <f t="shared" si="69"/>
        <v>8.575362824037705E-2</v>
      </c>
    </row>
    <row r="38" spans="1:19" ht="15.75" thickBot="1">
      <c r="B38" s="10"/>
      <c r="C38" s="10"/>
      <c r="D38" s="10"/>
      <c r="E38" s="10"/>
      <c r="F38" s="10"/>
      <c r="G38" s="10"/>
      <c r="K38" s="10"/>
      <c r="L38" s="10"/>
    </row>
    <row r="39" spans="1:19" ht="15" customHeight="1" thickBot="1">
      <c r="A39" s="225" t="s">
        <v>78</v>
      </c>
      <c r="B39" s="223"/>
      <c r="C39" s="223"/>
      <c r="D39" s="223"/>
      <c r="E39" s="223"/>
      <c r="F39" s="224"/>
      <c r="K39" s="10"/>
      <c r="M39" s="17"/>
      <c r="N39" s="1" t="s">
        <v>28</v>
      </c>
      <c r="O39" s="12" t="s">
        <v>29</v>
      </c>
      <c r="Q39" s="1" t="s">
        <v>209</v>
      </c>
      <c r="R39" s="1">
        <v>-3.55</v>
      </c>
      <c r="S39" s="1">
        <v>-7.78</v>
      </c>
    </row>
    <row r="40" spans="1:19">
      <c r="A40" s="198" t="s">
        <v>79</v>
      </c>
      <c r="B40" s="199" t="s">
        <v>80</v>
      </c>
      <c r="C40" s="199" t="s">
        <v>65</v>
      </c>
      <c r="D40" s="199" t="s">
        <v>81</v>
      </c>
      <c r="E40" s="199" t="s">
        <v>82</v>
      </c>
      <c r="F40" s="200" t="s">
        <v>83</v>
      </c>
      <c r="G40" s="1" t="s">
        <v>210</v>
      </c>
      <c r="J40" s="27" t="s">
        <v>211</v>
      </c>
      <c r="K40" s="27" t="s">
        <v>153</v>
      </c>
      <c r="M40" s="18" t="s">
        <v>32</v>
      </c>
      <c r="N40" s="1">
        <v>15</v>
      </c>
      <c r="O40" s="12">
        <v>15</v>
      </c>
    </row>
    <row r="41" spans="1:19">
      <c r="A41" s="4">
        <f>R39-0.02</f>
        <v>-3.57</v>
      </c>
      <c r="B41" s="1">
        <f>S39</f>
        <v>-7.78</v>
      </c>
      <c r="C41" s="214">
        <v>8.6690000000000005</v>
      </c>
      <c r="D41" s="1">
        <v>10</v>
      </c>
      <c r="E41" s="1">
        <v>10</v>
      </c>
      <c r="F41" s="12" t="s">
        <v>212</v>
      </c>
      <c r="G41" s="1">
        <f>1/C41</f>
        <v>0.11535355865728457</v>
      </c>
      <c r="H41" s="62"/>
    </row>
    <row r="42" spans="1:19">
      <c r="A42" s="4">
        <f>A41+0.02</f>
        <v>-3.55</v>
      </c>
      <c r="B42" s="1">
        <f>B41</f>
        <v>-7.78</v>
      </c>
      <c r="C42" s="214">
        <v>8.6690000000000005</v>
      </c>
      <c r="D42" s="1">
        <v>10</v>
      </c>
      <c r="E42" s="1">
        <v>10</v>
      </c>
      <c r="F42" s="12" t="s">
        <v>212</v>
      </c>
      <c r="G42" s="1">
        <f>G41</f>
        <v>0.11535355865728457</v>
      </c>
      <c r="H42" s="62"/>
    </row>
    <row r="43" spans="1:19">
      <c r="A43" s="4">
        <f>A42+0.02</f>
        <v>-3.53</v>
      </c>
      <c r="B43" s="1">
        <f>B42</f>
        <v>-7.78</v>
      </c>
      <c r="C43" s="214">
        <v>8.6690000000000005</v>
      </c>
      <c r="D43" s="1">
        <v>10</v>
      </c>
      <c r="E43" s="1">
        <v>10</v>
      </c>
      <c r="F43" s="12" t="s">
        <v>212</v>
      </c>
      <c r="G43" s="1">
        <f>G42</f>
        <v>0.11535355865728457</v>
      </c>
      <c r="H43" s="62"/>
    </row>
    <row r="44" spans="1:19">
      <c r="A44" s="4">
        <f>A41</f>
        <v>-3.57</v>
      </c>
      <c r="B44" s="1">
        <f>B43+0.025</f>
        <v>-7.7549999999999999</v>
      </c>
      <c r="C44" s="214">
        <v>8.6690000000000005</v>
      </c>
      <c r="D44" s="1">
        <v>10</v>
      </c>
      <c r="E44" s="1">
        <v>10</v>
      </c>
      <c r="F44" s="12" t="s">
        <v>213</v>
      </c>
      <c r="G44" s="1">
        <f>G43*10</f>
        <v>1.1535355865728456</v>
      </c>
      <c r="H44" s="62"/>
    </row>
    <row r="45" spans="1:19">
      <c r="A45" s="4">
        <f t="shared" ref="A45:A46" si="70">A42</f>
        <v>-3.55</v>
      </c>
      <c r="B45" s="1">
        <f>B44</f>
        <v>-7.7549999999999999</v>
      </c>
      <c r="C45" s="214">
        <v>8.6690000000000005</v>
      </c>
      <c r="D45" s="1">
        <v>10</v>
      </c>
      <c r="E45" s="1">
        <v>10</v>
      </c>
      <c r="F45" s="12" t="s">
        <v>213</v>
      </c>
      <c r="G45" s="1">
        <f>G44</f>
        <v>1.1535355865728456</v>
      </c>
      <c r="H45" s="62"/>
    </row>
    <row r="46" spans="1:19">
      <c r="A46" s="4">
        <f t="shared" si="70"/>
        <v>-3.53</v>
      </c>
      <c r="B46" s="1">
        <f>B45</f>
        <v>-7.7549999999999999</v>
      </c>
      <c r="C46" s="214">
        <v>8.6690000000000005</v>
      </c>
      <c r="D46" s="1">
        <v>10</v>
      </c>
      <c r="E46" s="1">
        <v>10</v>
      </c>
      <c r="F46" s="12" t="s">
        <v>213</v>
      </c>
      <c r="G46" s="1">
        <f>G45</f>
        <v>1.1535355865728456</v>
      </c>
      <c r="H46" s="62"/>
    </row>
    <row r="47" spans="1:19">
      <c r="A47" s="4">
        <f>A44</f>
        <v>-3.57</v>
      </c>
      <c r="B47" s="1">
        <f>B45+0.025</f>
        <v>-7.7299999999999995</v>
      </c>
      <c r="C47" s="214">
        <v>8.6690000000000005</v>
      </c>
      <c r="D47" s="1">
        <v>10</v>
      </c>
      <c r="E47" s="1">
        <v>10</v>
      </c>
      <c r="F47" s="12" t="s">
        <v>214</v>
      </c>
      <c r="G47" s="1">
        <f>G46*10</f>
        <v>11.535355865728455</v>
      </c>
      <c r="H47" s="62"/>
    </row>
    <row r="48" spans="1:19">
      <c r="A48" s="4">
        <f>A47+0.02</f>
        <v>-3.55</v>
      </c>
      <c r="B48" s="1">
        <f>B47</f>
        <v>-7.7299999999999995</v>
      </c>
      <c r="C48" s="214">
        <v>8.6690000000000005</v>
      </c>
      <c r="D48" s="1">
        <v>10</v>
      </c>
      <c r="E48" s="1">
        <v>10</v>
      </c>
      <c r="F48" s="12" t="s">
        <v>214</v>
      </c>
      <c r="G48" s="1">
        <f t="shared" ref="G48:G49" si="71">G47</f>
        <v>11.535355865728455</v>
      </c>
      <c r="H48" s="62"/>
    </row>
    <row r="49" spans="1:9">
      <c r="A49" s="4">
        <f t="shared" ref="A49" si="72">A46</f>
        <v>-3.53</v>
      </c>
      <c r="B49" s="1">
        <f>B48</f>
        <v>-7.7299999999999995</v>
      </c>
      <c r="C49" s="214">
        <v>8.6690000000000005</v>
      </c>
      <c r="D49" s="1">
        <v>10</v>
      </c>
      <c r="E49" s="1">
        <v>10</v>
      </c>
      <c r="F49" s="12" t="s">
        <v>214</v>
      </c>
      <c r="G49" s="1">
        <f t="shared" si="71"/>
        <v>11.535355865728455</v>
      </c>
      <c r="H49" s="62"/>
    </row>
    <row r="50" spans="1:9">
      <c r="A50" s="4">
        <f>A47</f>
        <v>-3.57</v>
      </c>
      <c r="B50" s="1">
        <f>B48+0.025</f>
        <v>-7.7049999999999992</v>
      </c>
      <c r="C50" s="214">
        <v>8.6690000000000005</v>
      </c>
      <c r="D50" s="1">
        <v>10</v>
      </c>
      <c r="E50" s="1">
        <v>10</v>
      </c>
      <c r="F50" s="12" t="s">
        <v>215</v>
      </c>
      <c r="G50" s="1">
        <f>G49*10</f>
        <v>115.35355865728455</v>
      </c>
      <c r="H50" s="62"/>
    </row>
    <row r="51" spans="1:9">
      <c r="A51" s="4">
        <f>A50+0.02</f>
        <v>-3.55</v>
      </c>
      <c r="B51" s="1">
        <f>B50</f>
        <v>-7.7049999999999992</v>
      </c>
      <c r="C51" s="214">
        <v>8.6690000000000005</v>
      </c>
      <c r="D51" s="1">
        <v>10</v>
      </c>
      <c r="E51" s="1">
        <v>10</v>
      </c>
      <c r="F51" s="12" t="s">
        <v>215</v>
      </c>
      <c r="G51" s="1">
        <f t="shared" ref="G51:G52" si="73">G50</f>
        <v>115.35355865728455</v>
      </c>
      <c r="H51" s="62"/>
    </row>
    <row r="52" spans="1:9">
      <c r="A52" s="4">
        <f t="shared" ref="A52" si="74">A49</f>
        <v>-3.53</v>
      </c>
      <c r="B52" s="1">
        <f>B51</f>
        <v>-7.7049999999999992</v>
      </c>
      <c r="C52" s="214">
        <v>8.6690000000000005</v>
      </c>
      <c r="D52" s="1">
        <v>10</v>
      </c>
      <c r="E52" s="1">
        <v>10</v>
      </c>
      <c r="F52" s="12" t="s">
        <v>215</v>
      </c>
      <c r="G52" s="1">
        <f t="shared" si="73"/>
        <v>115.35355865728455</v>
      </c>
      <c r="H52" s="62"/>
    </row>
    <row r="53" spans="1:9">
      <c r="A53" s="4"/>
      <c r="C53" s="48"/>
      <c r="F53" s="12"/>
      <c r="G53" s="1">
        <f>SUM(G41:G52)</f>
        <v>384.47341100472943</v>
      </c>
      <c r="H53" s="62"/>
    </row>
    <row r="54" spans="1:9">
      <c r="A54" s="4" t="s">
        <v>216</v>
      </c>
      <c r="C54" s="48"/>
      <c r="F54" s="12"/>
      <c r="G54" s="1" t="s">
        <v>217</v>
      </c>
      <c r="H54" s="62" t="s">
        <v>210</v>
      </c>
    </row>
    <row r="55" spans="1:9">
      <c r="A55" s="4">
        <f>R39-0.001</f>
        <v>-3.5509999999999997</v>
      </c>
      <c r="B55" s="1">
        <f>S39-0.015</f>
        <v>-7.7949999999999999</v>
      </c>
      <c r="C55" s="214">
        <v>114.73699999999999</v>
      </c>
      <c r="D55" s="1">
        <v>10</v>
      </c>
      <c r="E55" s="1">
        <v>10</v>
      </c>
      <c r="F55" s="12" t="s">
        <v>218</v>
      </c>
      <c r="G55" s="1">
        <v>164</v>
      </c>
      <c r="H55" s="62">
        <f>G55/C55</f>
        <v>1.4293558311617003</v>
      </c>
      <c r="I55" s="1">
        <v>1</v>
      </c>
    </row>
    <row r="56" spans="1:9">
      <c r="A56" s="4">
        <f>A55+0.001</f>
        <v>-3.55</v>
      </c>
      <c r="B56" s="1">
        <f>B55</f>
        <v>-7.7949999999999999</v>
      </c>
      <c r="C56" s="214">
        <f>C55</f>
        <v>114.73699999999999</v>
      </c>
      <c r="D56" s="1">
        <v>10</v>
      </c>
      <c r="E56" s="1">
        <v>10</v>
      </c>
      <c r="F56" s="12" t="s">
        <v>218</v>
      </c>
      <c r="G56" s="1">
        <v>164</v>
      </c>
      <c r="H56" s="62">
        <f t="shared" ref="H56:H72" si="75">G56/C56</f>
        <v>1.4293558311617003</v>
      </c>
      <c r="I56" s="1">
        <f>I55+1</f>
        <v>2</v>
      </c>
    </row>
    <row r="57" spans="1:9">
      <c r="A57" s="4">
        <f>A56+0.001</f>
        <v>-3.5489999999999999</v>
      </c>
      <c r="B57" s="1">
        <f>B56</f>
        <v>-7.7949999999999999</v>
      </c>
      <c r="C57" s="214">
        <f>C56</f>
        <v>114.73699999999999</v>
      </c>
      <c r="D57" s="1">
        <v>10</v>
      </c>
      <c r="E57" s="1">
        <v>10</v>
      </c>
      <c r="F57" s="12" t="s">
        <v>218</v>
      </c>
      <c r="G57" s="1">
        <v>164</v>
      </c>
      <c r="H57" s="62">
        <f t="shared" si="75"/>
        <v>1.4293558311617003</v>
      </c>
      <c r="I57" s="1">
        <f t="shared" ref="I57:I72" si="76">I56+1</f>
        <v>3</v>
      </c>
    </row>
    <row r="58" spans="1:9">
      <c r="A58" s="4">
        <f>A55</f>
        <v>-3.5509999999999997</v>
      </c>
      <c r="B58" s="1">
        <f>B57-0.001</f>
        <v>-7.7960000000000003</v>
      </c>
      <c r="C58" s="214">
        <f>C57/10</f>
        <v>11.473699999999999</v>
      </c>
      <c r="D58" s="1">
        <v>10</v>
      </c>
      <c r="E58" s="1">
        <v>10</v>
      </c>
      <c r="F58" s="12" t="s">
        <v>218</v>
      </c>
      <c r="G58" s="1">
        <v>164</v>
      </c>
      <c r="H58" s="62">
        <f t="shared" si="75"/>
        <v>14.293558311617003</v>
      </c>
      <c r="I58" s="1">
        <f t="shared" si="76"/>
        <v>4</v>
      </c>
    </row>
    <row r="59" spans="1:9">
      <c r="A59" s="4">
        <f t="shared" ref="A59:A72" si="77">A56</f>
        <v>-3.55</v>
      </c>
      <c r="B59" s="1">
        <f>B58</f>
        <v>-7.7960000000000003</v>
      </c>
      <c r="C59" s="214">
        <f>C58</f>
        <v>11.473699999999999</v>
      </c>
      <c r="D59" s="1">
        <v>10</v>
      </c>
      <c r="E59" s="1">
        <v>10</v>
      </c>
      <c r="F59" s="12" t="s">
        <v>218</v>
      </c>
      <c r="G59" s="1">
        <v>164</v>
      </c>
      <c r="H59" s="62">
        <f t="shared" si="75"/>
        <v>14.293558311617003</v>
      </c>
      <c r="I59" s="1">
        <f t="shared" si="76"/>
        <v>5</v>
      </c>
    </row>
    <row r="60" spans="1:9">
      <c r="A60" s="4">
        <f t="shared" si="77"/>
        <v>-3.5489999999999999</v>
      </c>
      <c r="B60" s="1">
        <f>B59</f>
        <v>-7.7960000000000003</v>
      </c>
      <c r="C60" s="214">
        <f>C59</f>
        <v>11.473699999999999</v>
      </c>
      <c r="D60" s="1">
        <v>10</v>
      </c>
      <c r="E60" s="1">
        <v>10</v>
      </c>
      <c r="F60" s="12" t="s">
        <v>218</v>
      </c>
      <c r="G60" s="1">
        <v>164</v>
      </c>
      <c r="H60" s="62">
        <f t="shared" si="75"/>
        <v>14.293558311617003</v>
      </c>
      <c r="I60" s="1">
        <f t="shared" si="76"/>
        <v>6</v>
      </c>
    </row>
    <row r="61" spans="1:9">
      <c r="A61" s="4">
        <f t="shared" si="77"/>
        <v>-3.5509999999999997</v>
      </c>
      <c r="B61" s="1">
        <f>B60-0.001</f>
        <v>-7.7970000000000006</v>
      </c>
      <c r="C61" s="214">
        <f>C60/10</f>
        <v>1.14737</v>
      </c>
      <c r="D61" s="1">
        <v>10</v>
      </c>
      <c r="E61" s="1">
        <v>10</v>
      </c>
      <c r="F61" s="12" t="s">
        <v>219</v>
      </c>
      <c r="G61" s="1">
        <v>1</v>
      </c>
      <c r="H61" s="62">
        <f t="shared" si="75"/>
        <v>0.87155843363518304</v>
      </c>
      <c r="I61" s="1">
        <f t="shared" si="76"/>
        <v>7</v>
      </c>
    </row>
    <row r="62" spans="1:9">
      <c r="A62" s="4">
        <f t="shared" si="77"/>
        <v>-3.55</v>
      </c>
      <c r="B62" s="1">
        <f t="shared" ref="B62:B72" si="78">B61</f>
        <v>-7.7970000000000006</v>
      </c>
      <c r="C62" s="214">
        <f>C61</f>
        <v>1.14737</v>
      </c>
      <c r="D62" s="1">
        <v>10</v>
      </c>
      <c r="E62" s="1">
        <v>10</v>
      </c>
      <c r="F62" s="12" t="s">
        <v>219</v>
      </c>
      <c r="G62" s="1">
        <v>1</v>
      </c>
      <c r="H62" s="62">
        <f t="shared" si="75"/>
        <v>0.87155843363518304</v>
      </c>
      <c r="I62" s="1">
        <f t="shared" si="76"/>
        <v>8</v>
      </c>
    </row>
    <row r="63" spans="1:9">
      <c r="A63" s="4">
        <f t="shared" si="77"/>
        <v>-3.5489999999999999</v>
      </c>
      <c r="B63" s="1">
        <f t="shared" si="78"/>
        <v>-7.7970000000000006</v>
      </c>
      <c r="C63" s="214">
        <f>C62</f>
        <v>1.14737</v>
      </c>
      <c r="D63" s="1">
        <v>10</v>
      </c>
      <c r="E63" s="1">
        <v>10</v>
      </c>
      <c r="F63" s="12" t="s">
        <v>219</v>
      </c>
      <c r="G63" s="1">
        <v>1</v>
      </c>
      <c r="H63" s="62">
        <f t="shared" si="75"/>
        <v>0.87155843363518304</v>
      </c>
      <c r="I63" s="1">
        <f t="shared" si="76"/>
        <v>9</v>
      </c>
    </row>
    <row r="64" spans="1:9">
      <c r="A64" s="4">
        <f t="shared" si="77"/>
        <v>-3.5509999999999997</v>
      </c>
      <c r="B64" s="1">
        <f>B63-0.001</f>
        <v>-7.7980000000000009</v>
      </c>
      <c r="C64" s="214">
        <f t="shared" ref="C64:C66" si="79">C63</f>
        <v>1.14737</v>
      </c>
      <c r="D64" s="1">
        <v>10</v>
      </c>
      <c r="E64" s="1">
        <v>10</v>
      </c>
      <c r="F64" s="12" t="s">
        <v>219</v>
      </c>
      <c r="G64" s="1">
        <v>1</v>
      </c>
      <c r="H64" s="62">
        <f t="shared" si="75"/>
        <v>0.87155843363518304</v>
      </c>
      <c r="I64" s="1">
        <f t="shared" si="76"/>
        <v>10</v>
      </c>
    </row>
    <row r="65" spans="1:16">
      <c r="A65" s="4">
        <f t="shared" si="77"/>
        <v>-3.55</v>
      </c>
      <c r="B65" s="1">
        <f t="shared" si="78"/>
        <v>-7.7980000000000009</v>
      </c>
      <c r="C65" s="214">
        <f t="shared" si="79"/>
        <v>1.14737</v>
      </c>
      <c r="D65" s="1">
        <v>10</v>
      </c>
      <c r="E65" s="1">
        <v>10</v>
      </c>
      <c r="F65" s="12" t="s">
        <v>219</v>
      </c>
      <c r="G65" s="1">
        <v>1</v>
      </c>
      <c r="H65" s="62">
        <f t="shared" si="75"/>
        <v>0.87155843363518304</v>
      </c>
      <c r="I65" s="1">
        <f t="shared" si="76"/>
        <v>11</v>
      </c>
    </row>
    <row r="66" spans="1:16">
      <c r="A66" s="4">
        <f>A63</f>
        <v>-3.5489999999999999</v>
      </c>
      <c r="B66" s="1">
        <f t="shared" si="78"/>
        <v>-7.7980000000000009</v>
      </c>
      <c r="C66" s="214">
        <f t="shared" si="79"/>
        <v>1.14737</v>
      </c>
      <c r="D66" s="1">
        <v>10</v>
      </c>
      <c r="E66" s="1">
        <v>10</v>
      </c>
      <c r="F66" s="12" t="s">
        <v>219</v>
      </c>
      <c r="G66" s="1">
        <v>1</v>
      </c>
      <c r="H66" s="62">
        <f t="shared" si="75"/>
        <v>0.87155843363518304</v>
      </c>
      <c r="I66" s="1">
        <f t="shared" si="76"/>
        <v>12</v>
      </c>
    </row>
    <row r="67" spans="1:16">
      <c r="A67" s="4">
        <f t="shared" si="77"/>
        <v>-3.5509999999999997</v>
      </c>
      <c r="B67" s="1">
        <f>B66-0.001</f>
        <v>-7.7990000000000013</v>
      </c>
      <c r="C67" s="214">
        <f>C66/10</f>
        <v>0.11473700000000001</v>
      </c>
      <c r="D67" s="1">
        <v>10</v>
      </c>
      <c r="E67" s="1">
        <v>10</v>
      </c>
      <c r="F67" s="12" t="s">
        <v>219</v>
      </c>
      <c r="G67" s="1">
        <v>1</v>
      </c>
      <c r="H67" s="62">
        <f t="shared" si="75"/>
        <v>8.7155843363518297</v>
      </c>
      <c r="I67" s="1">
        <f t="shared" si="76"/>
        <v>13</v>
      </c>
    </row>
    <row r="68" spans="1:16">
      <c r="A68" s="4">
        <f t="shared" si="77"/>
        <v>-3.55</v>
      </c>
      <c r="B68" s="1">
        <f t="shared" si="78"/>
        <v>-7.7990000000000013</v>
      </c>
      <c r="C68" s="214">
        <f>C67</f>
        <v>0.11473700000000001</v>
      </c>
      <c r="D68" s="1">
        <v>10</v>
      </c>
      <c r="E68" s="1">
        <v>10</v>
      </c>
      <c r="F68" s="12" t="s">
        <v>219</v>
      </c>
      <c r="G68" s="1">
        <v>1</v>
      </c>
      <c r="H68" s="62">
        <f t="shared" si="75"/>
        <v>8.7155843363518297</v>
      </c>
      <c r="I68" s="1">
        <f t="shared" si="76"/>
        <v>14</v>
      </c>
    </row>
    <row r="69" spans="1:16">
      <c r="A69" s="4">
        <f t="shared" si="77"/>
        <v>-3.5489999999999999</v>
      </c>
      <c r="B69" s="1">
        <f t="shared" si="78"/>
        <v>-7.7990000000000013</v>
      </c>
      <c r="C69" s="214">
        <f>C68</f>
        <v>0.11473700000000001</v>
      </c>
      <c r="D69" s="1">
        <v>10</v>
      </c>
      <c r="E69" s="1">
        <v>10</v>
      </c>
      <c r="F69" s="12" t="s">
        <v>219</v>
      </c>
      <c r="G69" s="1">
        <v>1</v>
      </c>
      <c r="H69" s="62">
        <f t="shared" si="75"/>
        <v>8.7155843363518297</v>
      </c>
      <c r="I69" s="1">
        <f t="shared" si="76"/>
        <v>15</v>
      </c>
      <c r="N69" s="1" t="s">
        <v>220</v>
      </c>
      <c r="O69" s="9">
        <f>0.00000000002</f>
        <v>1.9999999999999999E-11</v>
      </c>
      <c r="P69" s="1" t="s">
        <v>142</v>
      </c>
    </row>
    <row r="70" spans="1:16">
      <c r="A70" s="4">
        <f t="shared" si="77"/>
        <v>-3.5509999999999997</v>
      </c>
      <c r="B70" s="1">
        <f>B69-0.001</f>
        <v>-7.8000000000000016</v>
      </c>
      <c r="C70" s="214">
        <f t="shared" ref="C70:C72" si="80">C69</f>
        <v>0.11473700000000001</v>
      </c>
      <c r="D70" s="1">
        <v>10</v>
      </c>
      <c r="E70" s="1">
        <v>10</v>
      </c>
      <c r="F70" s="12" t="s">
        <v>219</v>
      </c>
      <c r="G70" s="1">
        <v>1</v>
      </c>
      <c r="H70" s="62">
        <f t="shared" si="75"/>
        <v>8.7155843363518297</v>
      </c>
      <c r="I70" s="1">
        <f t="shared" si="76"/>
        <v>16</v>
      </c>
      <c r="N70" s="1" t="s">
        <v>221</v>
      </c>
      <c r="O70" s="1">
        <f>O69/1.6E-19</f>
        <v>125000000</v>
      </c>
      <c r="P70" s="1" t="s">
        <v>222</v>
      </c>
    </row>
    <row r="71" spans="1:16">
      <c r="A71" s="4">
        <f t="shared" si="77"/>
        <v>-3.55</v>
      </c>
      <c r="B71" s="1">
        <f t="shared" si="78"/>
        <v>-7.8000000000000016</v>
      </c>
      <c r="C71" s="214">
        <f t="shared" si="80"/>
        <v>0.11473700000000001</v>
      </c>
      <c r="D71" s="1">
        <v>10</v>
      </c>
      <c r="E71" s="1">
        <v>10</v>
      </c>
      <c r="F71" s="12" t="s">
        <v>219</v>
      </c>
      <c r="G71" s="1">
        <v>1</v>
      </c>
      <c r="H71" s="62">
        <f t="shared" si="75"/>
        <v>8.7155843363518297</v>
      </c>
      <c r="I71" s="1">
        <f t="shared" si="76"/>
        <v>17</v>
      </c>
      <c r="N71" s="1" t="s">
        <v>223</v>
      </c>
      <c r="O71" s="1">
        <f>O70*2</f>
        <v>250000000</v>
      </c>
      <c r="P71" s="1" t="s">
        <v>222</v>
      </c>
    </row>
    <row r="72" spans="1:16">
      <c r="A72" s="4">
        <f t="shared" si="77"/>
        <v>-3.5489999999999999</v>
      </c>
      <c r="B72" s="1">
        <f t="shared" si="78"/>
        <v>-7.8000000000000016</v>
      </c>
      <c r="C72" s="214">
        <f t="shared" si="80"/>
        <v>0.11473700000000001</v>
      </c>
      <c r="D72" s="1">
        <v>10</v>
      </c>
      <c r="E72" s="1">
        <v>10</v>
      </c>
      <c r="F72" s="12" t="s">
        <v>219</v>
      </c>
      <c r="G72" s="1">
        <v>1</v>
      </c>
      <c r="H72" s="62">
        <f t="shared" si="75"/>
        <v>8.7155843363518297</v>
      </c>
      <c r="I72" s="1">
        <f t="shared" si="76"/>
        <v>18</v>
      </c>
      <c r="N72" s="1" t="s">
        <v>224</v>
      </c>
      <c r="O72" s="9">
        <v>1000000000</v>
      </c>
      <c r="P72" s="1" t="s">
        <v>221</v>
      </c>
    </row>
    <row r="73" spans="1:16">
      <c r="A73" s="4"/>
      <c r="C73" s="48"/>
      <c r="F73" s="12"/>
      <c r="H73" s="62">
        <f>SUM(H55:H72)</f>
        <v>104.69159904825814</v>
      </c>
      <c r="N73" s="1" t="s">
        <v>225</v>
      </c>
      <c r="O73" s="9">
        <f>O72/O71</f>
        <v>4</v>
      </c>
      <c r="P73" s="1" t="s">
        <v>226</v>
      </c>
    </row>
    <row r="74" spans="1:16">
      <c r="A74" s="4"/>
      <c r="C74" s="48"/>
      <c r="F74" s="12"/>
      <c r="H74" s="62"/>
      <c r="N74" s="1" t="s">
        <v>227</v>
      </c>
      <c r="O74" s="1">
        <f>512*512</f>
        <v>262144</v>
      </c>
    </row>
    <row r="75" spans="1:16">
      <c r="A75" s="4"/>
      <c r="C75" s="48"/>
      <c r="F75" s="12"/>
      <c r="H75" s="62"/>
      <c r="N75" s="1" t="s">
        <v>228</v>
      </c>
      <c r="O75" s="9">
        <f>O73/O74</f>
        <v>1.52587890625E-5</v>
      </c>
    </row>
    <row r="76" spans="1:16">
      <c r="A76" s="4"/>
      <c r="C76" s="48"/>
      <c r="F76" s="12"/>
      <c r="H76" s="62"/>
      <c r="N76" s="1" t="s">
        <v>229</v>
      </c>
      <c r="O76" s="9">
        <f>1/O75</f>
        <v>65536</v>
      </c>
    </row>
    <row r="77" spans="1:16">
      <c r="A77" s="4"/>
      <c r="C77" s="48"/>
      <c r="F77" s="12"/>
      <c r="H77" s="62"/>
    </row>
    <row r="78" spans="1:16">
      <c r="A78" s="4"/>
      <c r="C78" s="48"/>
      <c r="F78" s="12"/>
      <c r="H78" s="62"/>
    </row>
    <row r="79" spans="1:16">
      <c r="A79" s="4"/>
      <c r="C79" s="48"/>
      <c r="F79" s="12"/>
      <c r="H79" s="62"/>
    </row>
    <row r="80" spans="1:16">
      <c r="A80" s="4"/>
      <c r="C80" s="48"/>
      <c r="F80" s="12"/>
      <c r="H80" s="62"/>
    </row>
    <row r="81" spans="1:8">
      <c r="A81" s="4"/>
      <c r="C81" s="48"/>
      <c r="F81" s="12"/>
      <c r="H81" s="62"/>
    </row>
    <row r="82" spans="1:8">
      <c r="A82" s="4"/>
      <c r="C82" s="48"/>
      <c r="F82" s="12"/>
      <c r="H82" s="62"/>
    </row>
    <row r="83" spans="1:8">
      <c r="A83" s="4"/>
      <c r="C83" s="48"/>
      <c r="F83" s="12"/>
      <c r="H83" s="62"/>
    </row>
    <row r="84" spans="1:8">
      <c r="A84" s="4"/>
      <c r="C84" s="48"/>
      <c r="F84" s="12"/>
      <c r="H84" s="62"/>
    </row>
    <row r="85" spans="1:8">
      <c r="A85" s="4"/>
      <c r="C85" s="48"/>
      <c r="F85" s="12"/>
      <c r="H85" s="62"/>
    </row>
    <row r="86" spans="1:8">
      <c r="A86" s="4"/>
      <c r="C86" s="48"/>
      <c r="F86" s="12"/>
      <c r="H86" s="62"/>
    </row>
    <row r="87" spans="1:8">
      <c r="A87" s="4"/>
      <c r="C87" s="48"/>
      <c r="F87" s="12"/>
      <c r="H87" s="62"/>
    </row>
    <row r="88" spans="1:8">
      <c r="A88" s="4"/>
      <c r="C88" s="48"/>
      <c r="F88" s="12"/>
      <c r="H88" s="62"/>
    </row>
    <row r="89" spans="1:8">
      <c r="A89" s="4"/>
      <c r="C89" s="48"/>
      <c r="F89" s="12"/>
      <c r="H89" s="62"/>
    </row>
    <row r="90" spans="1:8">
      <c r="A90" s="4"/>
      <c r="C90" s="48"/>
      <c r="F90" s="12"/>
      <c r="H90" s="62"/>
    </row>
    <row r="91" spans="1:8">
      <c r="A91" s="4"/>
      <c r="C91" s="48"/>
      <c r="F91" s="12"/>
      <c r="H91" s="62"/>
    </row>
    <row r="92" spans="1:8">
      <c r="A92" s="4"/>
      <c r="C92" s="48"/>
      <c r="F92" s="12"/>
      <c r="H92" s="62"/>
    </row>
    <row r="93" spans="1:8">
      <c r="A93" s="4"/>
      <c r="C93" s="48"/>
      <c r="F93" s="12"/>
      <c r="H93" s="62"/>
    </row>
    <row r="94" spans="1:8">
      <c r="A94" s="4"/>
      <c r="C94" s="48"/>
      <c r="F94" s="12"/>
      <c r="H94" s="62"/>
    </row>
    <row r="95" spans="1:8">
      <c r="A95" s="4"/>
      <c r="C95" s="48"/>
      <c r="F95" s="12"/>
      <c r="H95" s="62"/>
    </row>
    <row r="96" spans="1:8">
      <c r="A96" s="4"/>
      <c r="C96" s="48"/>
      <c r="F96" s="12"/>
      <c r="H96" s="62"/>
    </row>
    <row r="97" spans="1:8">
      <c r="A97" s="4"/>
      <c r="C97" s="48"/>
      <c r="F97" s="12"/>
      <c r="H97" s="62"/>
    </row>
    <row r="98" spans="1:8">
      <c r="A98" s="4"/>
      <c r="C98" s="48"/>
      <c r="F98" s="12"/>
      <c r="H98" s="62"/>
    </row>
    <row r="99" spans="1:8">
      <c r="A99" s="4"/>
      <c r="C99" s="48"/>
      <c r="F99" s="12"/>
      <c r="H99" s="62"/>
    </row>
    <row r="100" spans="1:8">
      <c r="A100" s="4"/>
      <c r="C100" s="48"/>
      <c r="F100" s="12"/>
      <c r="H100" s="62"/>
    </row>
    <row r="101" spans="1:8">
      <c r="A101" s="4"/>
      <c r="C101" s="48"/>
      <c r="F101" s="12"/>
      <c r="H101" s="62"/>
    </row>
    <row r="102" spans="1:8">
      <c r="A102" s="4"/>
      <c r="C102" s="48"/>
      <c r="F102" s="12"/>
      <c r="H102" s="62"/>
    </row>
    <row r="103" spans="1:8">
      <c r="A103" s="4"/>
      <c r="C103" s="48"/>
      <c r="F103" s="12"/>
      <c r="H103" s="62"/>
    </row>
    <row r="104" spans="1:8">
      <c r="A104" s="4"/>
      <c r="C104" s="48"/>
      <c r="F104" s="12"/>
      <c r="H104" s="62"/>
    </row>
    <row r="105" spans="1:8">
      <c r="A105" s="4"/>
      <c r="C105" s="48"/>
      <c r="F105" s="12"/>
      <c r="H105" s="62"/>
    </row>
    <row r="106" spans="1:8">
      <c r="A106" s="4"/>
      <c r="C106" s="48"/>
      <c r="F106" s="12"/>
      <c r="H106" s="62"/>
    </row>
    <row r="107" spans="1:8">
      <c r="A107" s="4"/>
      <c r="C107" s="48"/>
      <c r="F107" s="12"/>
      <c r="H107" s="62"/>
    </row>
    <row r="108" spans="1:8">
      <c r="A108" s="4"/>
      <c r="C108" s="48"/>
      <c r="F108" s="12"/>
      <c r="H108" s="62"/>
    </row>
    <row r="109" spans="1:8">
      <c r="A109" s="4"/>
      <c r="C109" s="48"/>
      <c r="F109" s="12"/>
      <c r="H109" s="62"/>
    </row>
    <row r="110" spans="1:8">
      <c r="A110" s="4"/>
      <c r="C110" s="48"/>
      <c r="F110" s="12"/>
      <c r="H110" s="62"/>
    </row>
    <row r="111" spans="1:8">
      <c r="A111" s="4"/>
      <c r="C111" s="48"/>
      <c r="F111" s="12"/>
      <c r="H111" s="62"/>
    </row>
    <row r="112" spans="1:8">
      <c r="A112" s="4"/>
      <c r="C112" s="48"/>
      <c r="F112" s="12"/>
      <c r="H112" s="62"/>
    </row>
    <row r="113" spans="1:8">
      <c r="A113" s="4"/>
      <c r="C113" s="48"/>
      <c r="F113" s="12"/>
      <c r="H113" s="62"/>
    </row>
    <row r="114" spans="1:8">
      <c r="A114" s="4"/>
      <c r="C114" s="48"/>
      <c r="F114" s="12"/>
      <c r="H114" s="62"/>
    </row>
    <row r="115" spans="1:8">
      <c r="A115" s="4"/>
      <c r="C115" s="48"/>
      <c r="F115" s="12"/>
      <c r="H115" s="62"/>
    </row>
    <row r="116" spans="1:8">
      <c r="A116" s="4"/>
      <c r="C116" s="48"/>
      <c r="F116" s="12"/>
      <c r="H116" s="62"/>
    </row>
    <row r="117" spans="1:8">
      <c r="A117" s="4"/>
      <c r="C117" s="48"/>
      <c r="F117" s="12"/>
      <c r="H117" s="62"/>
    </row>
    <row r="118" spans="1:8">
      <c r="A118" s="4"/>
      <c r="C118" s="48"/>
      <c r="F118" s="12"/>
      <c r="H118" s="62"/>
    </row>
    <row r="119" spans="1:8">
      <c r="A119" s="4"/>
      <c r="C119" s="48"/>
      <c r="F119" s="12"/>
      <c r="H119" s="62"/>
    </row>
    <row r="120" spans="1:8">
      <c r="A120" s="4"/>
      <c r="C120" s="48"/>
      <c r="F120" s="12"/>
      <c r="H120" s="62"/>
    </row>
    <row r="121" spans="1:8">
      <c r="A121" s="4"/>
      <c r="C121" s="48"/>
      <c r="F121" s="12"/>
      <c r="H121" s="62"/>
    </row>
    <row r="122" spans="1:8">
      <c r="A122" s="4"/>
      <c r="C122" s="48"/>
      <c r="F122" s="12"/>
      <c r="H122" s="62"/>
    </row>
    <row r="123" spans="1:8">
      <c r="A123" s="4"/>
      <c r="C123" s="48"/>
      <c r="F123" s="12"/>
      <c r="H123" s="62"/>
    </row>
    <row r="124" spans="1:8">
      <c r="A124" s="4"/>
      <c r="C124" s="48"/>
      <c r="F124" s="12"/>
      <c r="H124" s="62"/>
    </row>
    <row r="125" spans="1:8">
      <c r="A125" s="4"/>
      <c r="C125" s="48"/>
      <c r="F125" s="12"/>
      <c r="H125" s="62"/>
    </row>
    <row r="126" spans="1:8">
      <c r="A126" s="4"/>
      <c r="C126" s="48"/>
      <c r="F126" s="12"/>
      <c r="H126" s="62"/>
    </row>
    <row r="127" spans="1:8">
      <c r="A127" s="4"/>
      <c r="C127" s="48"/>
      <c r="F127" s="12"/>
      <c r="H127" s="62"/>
    </row>
    <row r="128" spans="1:8">
      <c r="A128" s="4"/>
      <c r="C128" s="48"/>
      <c r="F128" s="12"/>
      <c r="H128" s="62"/>
    </row>
    <row r="129" spans="1:19">
      <c r="A129" s="4"/>
      <c r="C129" s="48"/>
      <c r="F129" s="12"/>
      <c r="H129" s="62"/>
    </row>
    <row r="130" spans="1:19">
      <c r="A130" s="4"/>
      <c r="C130" s="48"/>
      <c r="F130" s="12"/>
      <c r="H130" s="62"/>
    </row>
    <row r="131" spans="1:19">
      <c r="A131" s="4"/>
      <c r="C131" s="48"/>
      <c r="F131" s="12"/>
      <c r="H131" s="62"/>
    </row>
    <row r="132" spans="1:19">
      <c r="A132" s="4"/>
      <c r="C132" s="48"/>
      <c r="D132" s="1">
        <v>10</v>
      </c>
      <c r="E132" s="1">
        <v>10</v>
      </c>
      <c r="F132" s="12"/>
      <c r="G132" s="1">
        <f t="shared" ref="G132:G139" si="81">G131+1</f>
        <v>1</v>
      </c>
      <c r="H132" s="62"/>
    </row>
    <row r="133" spans="1:19">
      <c r="A133" s="4"/>
      <c r="C133" s="48"/>
      <c r="D133" s="1">
        <v>10</v>
      </c>
      <c r="E133" s="1">
        <v>10</v>
      </c>
      <c r="F133" s="12"/>
      <c r="G133" s="1">
        <f t="shared" si="81"/>
        <v>2</v>
      </c>
      <c r="H133" s="62"/>
    </row>
    <row r="134" spans="1:19">
      <c r="A134" s="4"/>
      <c r="C134" s="48"/>
      <c r="D134" s="1">
        <v>10</v>
      </c>
      <c r="E134" s="1">
        <v>10</v>
      </c>
      <c r="F134" s="12"/>
      <c r="G134" s="1">
        <f t="shared" si="81"/>
        <v>3</v>
      </c>
      <c r="H134" s="62"/>
    </row>
    <row r="135" spans="1:19">
      <c r="A135" s="4"/>
      <c r="C135" s="48"/>
      <c r="D135" s="1">
        <v>10</v>
      </c>
      <c r="E135" s="1">
        <v>10</v>
      </c>
      <c r="F135" s="12"/>
      <c r="G135" s="1">
        <f t="shared" si="81"/>
        <v>4</v>
      </c>
      <c r="H135" s="62"/>
    </row>
    <row r="136" spans="1:19">
      <c r="A136" s="4"/>
      <c r="C136" s="48"/>
      <c r="D136" s="1">
        <v>10</v>
      </c>
      <c r="E136" s="1">
        <v>10</v>
      </c>
      <c r="F136" s="12"/>
      <c r="G136" s="1">
        <f t="shared" si="81"/>
        <v>5</v>
      </c>
      <c r="H136" s="62"/>
    </row>
    <row r="137" spans="1:19">
      <c r="A137" s="4"/>
      <c r="C137" s="48"/>
      <c r="D137" s="1">
        <v>10</v>
      </c>
      <c r="E137" s="1">
        <v>10</v>
      </c>
      <c r="F137" s="12"/>
      <c r="G137" s="1">
        <f t="shared" si="81"/>
        <v>6</v>
      </c>
      <c r="H137" s="62"/>
    </row>
    <row r="138" spans="1:19">
      <c r="A138" s="4"/>
      <c r="C138" s="48"/>
      <c r="D138" s="1">
        <v>10</v>
      </c>
      <c r="E138" s="1">
        <v>10</v>
      </c>
      <c r="F138" s="12"/>
      <c r="G138" s="1">
        <f t="shared" si="81"/>
        <v>7</v>
      </c>
      <c r="H138" s="62"/>
    </row>
    <row r="139" spans="1:19">
      <c r="A139" s="4"/>
      <c r="C139" s="48"/>
      <c r="D139" s="1">
        <v>10</v>
      </c>
      <c r="E139" s="1">
        <v>10</v>
      </c>
      <c r="F139" s="12"/>
      <c r="G139" s="1">
        <f t="shared" si="81"/>
        <v>8</v>
      </c>
      <c r="H139" s="62"/>
    </row>
    <row r="140" spans="1:19">
      <c r="I140"/>
      <c r="J140"/>
      <c r="K140"/>
      <c r="L140"/>
      <c r="M140"/>
      <c r="N140"/>
      <c r="O140"/>
      <c r="P140"/>
    </row>
    <row r="141" spans="1:19" ht="15.75" thickBot="1">
      <c r="A141" s="26" t="s">
        <v>94</v>
      </c>
      <c r="B141"/>
      <c r="C141"/>
      <c r="D141" s="27"/>
      <c r="E141"/>
      <c r="F141"/>
      <c r="G141"/>
      <c r="H141"/>
      <c r="I141" s="32"/>
      <c r="J141" s="33"/>
      <c r="K141" s="32"/>
      <c r="L141" s="32"/>
      <c r="M141" s="32"/>
      <c r="N141" s="32"/>
      <c r="O141" s="32"/>
      <c r="P141" s="34"/>
    </row>
    <row r="142" spans="1:19" ht="15.75" thickTop="1">
      <c r="A142" s="152"/>
      <c r="B142" s="156" t="s">
        <v>95</v>
      </c>
      <c r="C142" s="156" t="s">
        <v>96</v>
      </c>
      <c r="D142" s="157" t="s">
        <v>97</v>
      </c>
      <c r="E142" s="157" t="s">
        <v>98</v>
      </c>
      <c r="F142" s="157" t="s">
        <v>99</v>
      </c>
      <c r="G142" s="157" t="s">
        <v>65</v>
      </c>
      <c r="H142" s="158" t="s">
        <v>100</v>
      </c>
      <c r="I142" s="153" t="s">
        <v>86</v>
      </c>
      <c r="J142" s="152" t="s">
        <v>87</v>
      </c>
      <c r="K142" s="153" t="s">
        <v>88</v>
      </c>
      <c r="L142" s="153" t="s">
        <v>89</v>
      </c>
      <c r="M142" s="153" t="s">
        <v>90</v>
      </c>
      <c r="N142" s="153" t="s">
        <v>91</v>
      </c>
      <c r="O142" s="153" t="s">
        <v>92</v>
      </c>
      <c r="P142" s="167" t="s">
        <v>93</v>
      </c>
      <c r="Q142"/>
      <c r="R142" s="27" t="s">
        <v>152</v>
      </c>
      <c r="S142" s="27" t="s">
        <v>153</v>
      </c>
    </row>
    <row r="143" spans="1:19">
      <c r="A143" s="152">
        <v>1</v>
      </c>
      <c r="B143" s="152">
        <v>0</v>
      </c>
      <c r="C143" s="170">
        <f>H18-0.1</f>
        <v>-1.1000000000000001</v>
      </c>
      <c r="D143" s="152">
        <f>$H$19+0.1-(K143/2)+($C$21/2000)</f>
        <v>5.9750914999999996</v>
      </c>
      <c r="E143" s="161">
        <f>P143</f>
        <v>4.3420155038759691E-5</v>
      </c>
      <c r="F143" s="152" t="e">
        <f>IF($B143,$C143,$D143)+$K143-IF($B143,$N$23/1000,$O$23/1000)</f>
        <v>#VALUE!</v>
      </c>
      <c r="G143" s="152">
        <v>50000</v>
      </c>
      <c r="H143" s="152">
        <f>(I143-IF(B143,$C$21,$B$21))/(IF(B143,$C$19,$B$19)-IF(B143,$C$21,$B$21))*10</f>
        <v>8.060887579710613</v>
      </c>
      <c r="I143" s="162">
        <v>10</v>
      </c>
      <c r="J143" s="154">
        <v>600</v>
      </c>
      <c r="K143" s="152">
        <v>0.05</v>
      </c>
      <c r="L143" s="152">
        <f>I143*0.001*K143</f>
        <v>5.0000000000000001E-4</v>
      </c>
      <c r="M143" s="152">
        <f>L143*J143*(0.000000001)/(1.6E-19)</f>
        <v>1875000000</v>
      </c>
      <c r="N143" s="153">
        <f>MAX($E$3:$E$15)*2</f>
        <v>1628255.8139534884</v>
      </c>
      <c r="O143" s="168">
        <f>M143/N143</f>
        <v>1151.5389559380133</v>
      </c>
      <c r="P143" s="161">
        <f>K143/O143</f>
        <v>4.3420155038759691E-5</v>
      </c>
      <c r="Q143"/>
      <c r="R143" s="40">
        <f>SUM(O143:O240)</f>
        <v>4606.155823752053</v>
      </c>
      <c r="S143" s="62">
        <f>R143/60</f>
        <v>76.769263729200887</v>
      </c>
    </row>
    <row r="144" spans="1:19">
      <c r="A144" s="152">
        <f>A143+1</f>
        <v>2</v>
      </c>
      <c r="B144" s="152">
        <v>1</v>
      </c>
      <c r="C144" s="170">
        <f>C143-(K144/2)+($B$21/2000)</f>
        <v>-1.1249804999999999</v>
      </c>
      <c r="D144" s="161">
        <f>$H$19+0.1</f>
        <v>6</v>
      </c>
      <c r="E144" s="161">
        <f t="shared" ref="E144" si="82">P144</f>
        <v>4.3420155038759691E-5</v>
      </c>
      <c r="F144" s="152" t="e">
        <f>IF($B144,$C144,$D144)+$K144-IF($B144,$N$23/1000,$O$23/1000)</f>
        <v>#VALUE!</v>
      </c>
      <c r="G144" s="152">
        <v>50000</v>
      </c>
      <c r="H144" s="152">
        <f t="shared" ref="H144:H146" si="83">(I144-IF(B144,$C$21,$B$21))/(IF(B144,$C$19,$B$19)-IF(B144,$C$21,$B$21))*10</f>
        <v>9.5316232013515343</v>
      </c>
      <c r="I144" s="162">
        <v>10</v>
      </c>
      <c r="J144" s="154">
        <v>600</v>
      </c>
      <c r="K144" s="152">
        <v>0.05</v>
      </c>
      <c r="L144" s="152">
        <f t="shared" ref="L144" si="84">I144*0.001*K144</f>
        <v>5.0000000000000001E-4</v>
      </c>
      <c r="M144" s="152">
        <f t="shared" ref="M144" si="85">L144*J144*(0.000000001)/(1.6E-19)</f>
        <v>1875000000</v>
      </c>
      <c r="N144" s="153">
        <f t="shared" ref="N144:N146" si="86">MAX($E$3:$E$15)*2</f>
        <v>1628255.8139534884</v>
      </c>
      <c r="O144" s="168">
        <f t="shared" ref="O144" si="87">M144/N144</f>
        <v>1151.5389559380133</v>
      </c>
      <c r="P144" s="161">
        <f t="shared" ref="P144" si="88">K144/O144</f>
        <v>4.3420155038759691E-5</v>
      </c>
      <c r="Q144"/>
      <c r="R144"/>
      <c r="S144"/>
    </row>
    <row r="145" spans="1:19">
      <c r="A145" s="152">
        <f>A144+1</f>
        <v>3</v>
      </c>
      <c r="B145" s="152">
        <v>0</v>
      </c>
      <c r="C145" s="170">
        <f>A139+0.1</f>
        <v>0.1</v>
      </c>
      <c r="D145" s="152">
        <f>D143</f>
        <v>5.9750914999999996</v>
      </c>
      <c r="E145" s="161">
        <f>P145</f>
        <v>4.3420155038759691E-5</v>
      </c>
      <c r="F145" s="152" t="e">
        <f>IF($B145,$C145,$D145)+$K145-IF($B145,$N$23/1000,$O$23/1000)</f>
        <v>#VALUE!</v>
      </c>
      <c r="G145" s="152">
        <v>50000</v>
      </c>
      <c r="H145" s="152">
        <f t="shared" si="83"/>
        <v>8.060887579710613</v>
      </c>
      <c r="I145" s="162">
        <v>10</v>
      </c>
      <c r="J145" s="154">
        <v>600</v>
      </c>
      <c r="K145" s="152">
        <v>0.05</v>
      </c>
      <c r="L145" s="152">
        <f>I145*0.001*K145</f>
        <v>5.0000000000000001E-4</v>
      </c>
      <c r="M145" s="152">
        <f>L145*J145*(0.000000001)/(1.6E-19)</f>
        <v>1875000000</v>
      </c>
      <c r="N145" s="153">
        <f t="shared" si="86"/>
        <v>1628255.8139534884</v>
      </c>
      <c r="O145" s="168">
        <f>M145/N145</f>
        <v>1151.5389559380133</v>
      </c>
      <c r="P145" s="161">
        <f>K145/O145</f>
        <v>4.3420155038759691E-5</v>
      </c>
      <c r="Q145"/>
      <c r="R145" s="40"/>
      <c r="S145"/>
    </row>
    <row r="146" spans="1:19">
      <c r="A146" s="152">
        <f>A145+1</f>
        <v>4</v>
      </c>
      <c r="B146" s="152">
        <v>1</v>
      </c>
      <c r="C146" s="152">
        <f>C145-(K146/2)+($B$21/2000)</f>
        <v>7.5019500000000017E-2</v>
      </c>
      <c r="D146" s="161">
        <f>D144</f>
        <v>6</v>
      </c>
      <c r="E146" s="161">
        <f t="shared" ref="E146" si="89">P146</f>
        <v>4.3420155038759691E-5</v>
      </c>
      <c r="F146" s="152" t="e">
        <f>IF($B146,$C146,$D146)+$K146-IF($B146,$N$23/1000,$O$23/1000)</f>
        <v>#VALUE!</v>
      </c>
      <c r="G146" s="152">
        <v>50000</v>
      </c>
      <c r="H146" s="152">
        <f t="shared" si="83"/>
        <v>9.5316232013515343</v>
      </c>
      <c r="I146" s="162">
        <v>10</v>
      </c>
      <c r="J146" s="154">
        <v>600</v>
      </c>
      <c r="K146" s="152">
        <v>0.05</v>
      </c>
      <c r="L146" s="152">
        <f t="shared" ref="L146" si="90">I146*0.001*K146</f>
        <v>5.0000000000000001E-4</v>
      </c>
      <c r="M146" s="152">
        <f t="shared" ref="M146" si="91">L146*J146*(0.000000001)/(1.6E-19)</f>
        <v>1875000000</v>
      </c>
      <c r="N146" s="153">
        <f t="shared" si="86"/>
        <v>1628255.8139534884</v>
      </c>
      <c r="O146" s="168">
        <f t="shared" ref="O146" si="92">M146/N146</f>
        <v>1151.5389559380133</v>
      </c>
      <c r="P146" s="161">
        <f t="shared" ref="P146" si="93">K146/O146</f>
        <v>4.3420155038759691E-5</v>
      </c>
      <c r="Q146"/>
      <c r="R146"/>
      <c r="S146"/>
    </row>
  </sheetData>
  <mergeCells count="5">
    <mergeCell ref="A39:F39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F1D8D7-2C9B-4201-B9F6-4DDE88FF8A15}"/>
</file>

<file path=customXml/itemProps2.xml><?xml version="1.0" encoding="utf-8"?>
<ds:datastoreItem xmlns:ds="http://schemas.openxmlformats.org/officeDocument/2006/customXml" ds:itemID="{BADB3C6C-B3F3-4820-BEA6-406FDAF7138D}"/>
</file>

<file path=customXml/itemProps3.xml><?xml version="1.0" encoding="utf-8"?>
<ds:datastoreItem xmlns:ds="http://schemas.openxmlformats.org/officeDocument/2006/customXml" ds:itemID="{30A53CAB-946B-4650-AFBD-B5DA645A6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Ganeysh D. Bathmanathan</cp:lastModifiedBy>
  <cp:revision/>
  <dcterms:created xsi:type="dcterms:W3CDTF">2022-07-06T09:44:57Z</dcterms:created>
  <dcterms:modified xsi:type="dcterms:W3CDTF">2025-09-30T18:18:23Z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