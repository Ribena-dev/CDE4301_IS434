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nusu.sharepoint.com/sites/CIBA/Shared Documents/General/Student Projects/Resolution Standard AY2526/Commercial/"/>
    </mc:Choice>
  </mc:AlternateContent>
  <xr:revisionPtr revIDLastSave="127" documentId="8_{FA48E345-A39F-41D7-ABA5-FE144A616780}" xr6:coauthVersionLast="47" xr6:coauthVersionMax="47" xr10:uidLastSave="{70220F55-D9DF-4709-B68A-E404E9498B1B}"/>
  <bookViews>
    <workbookView xWindow="-120" yWindow="-120" windowWidth="38640" windowHeight="21120" xr2:uid="{1A6BB94C-C51C-417B-9C8A-A07FFBFF995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5" i="1"/>
  <c r="J2" i="1"/>
  <c r="H5" i="1"/>
  <c r="H3" i="1"/>
  <c r="H2" i="1"/>
  <c r="B10" i="1"/>
  <c r="C3" i="1"/>
  <c r="B3" i="1"/>
  <c r="B2" i="1"/>
  <c r="C2" i="1"/>
  <c r="D11" i="1"/>
  <c r="C11" i="1"/>
  <c r="D10" i="1"/>
  <c r="D9" i="1"/>
  <c r="D3" i="1"/>
  <c r="C8" i="1"/>
  <c r="D8" i="1" s="1"/>
  <c r="D7" i="1"/>
  <c r="C6" i="1"/>
  <c r="D6" i="1" s="1"/>
  <c r="D5" i="1"/>
  <c r="C4" i="1"/>
  <c r="D4" i="1" s="1"/>
  <c r="D2" i="1"/>
</calcChain>
</file>

<file path=xl/sharedStrings.xml><?xml version="1.0" encoding="utf-8"?>
<sst xmlns="http://schemas.openxmlformats.org/spreadsheetml/2006/main" count="30" uniqueCount="26">
  <si>
    <t>Item</t>
  </si>
  <si>
    <t>Price with GST (SGD)</t>
  </si>
  <si>
    <t>Yield</t>
  </si>
  <si>
    <t>Per Piece</t>
  </si>
  <si>
    <t>Notes</t>
  </si>
  <si>
    <t>1 wafer (2 inch)</t>
  </si>
  <si>
    <t>grids</t>
  </si>
  <si>
    <t>Ti + Pd E-beam evaporation (booking time 2.5hrs, 5 wafers loaded)</t>
  </si>
  <si>
    <t>1 cost (only production)</t>
  </si>
  <si>
    <t>SGD</t>
  </si>
  <si>
    <t>USD</t>
  </si>
  <si>
    <t>Pd pellet (4g for coating 100nm)</t>
  </si>
  <si>
    <t>Optional SEM checking</t>
  </si>
  <si>
    <t>Cutting (laser cutting)</t>
  </si>
  <si>
    <t>PBW (on average 15min/pc)</t>
  </si>
  <si>
    <t>1 cost (with certification)</t>
  </si>
  <si>
    <t>500 ml PMMA</t>
  </si>
  <si>
    <t>Assume each spin coat uses 5 ml</t>
  </si>
  <si>
    <t>Manpower days (5 days, 1 day resist coating preparation, 2 days PBW, 1 day evaporation and liftoff, 1 day SEM checking and packaging)</t>
  </si>
  <si>
    <t>Exchange rate</t>
  </si>
  <si>
    <t>Acetone</t>
  </si>
  <si>
    <t>Packaging</t>
  </si>
  <si>
    <t>SEM characterisation (1.5 hrs for full mounting of 7 samples)</t>
  </si>
  <si>
    <t>$185 per hour</t>
  </si>
  <si>
    <t>Si wafer</t>
  </si>
  <si>
    <t>Assume 1 wafer ~ $50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</si>
</sst>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20A68-A092-4B8A-BCE5-620DD88A2E8A}">
  <dimension ref="A1:K11"/>
  <sheetViews>
    <sheetView tabSelected="1" workbookViewId="0">
      <selection activeCell="G8" sqref="G8"/>
    </sheetView>
  </sheetViews>
  <sheetFormatPr defaultRowHeight="15"/>
  <cols>
    <col min="1" max="1" width="118.85546875" bestFit="1" customWidth="1"/>
    <col min="2" max="2" width="19.140625" bestFit="1" customWidth="1"/>
    <col min="5" max="5" width="30.7109375" bestFit="1" customWidth="1"/>
    <col min="7" max="7" width="22.71093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G1" s="3" t="s">
        <v>5</v>
      </c>
      <c r="H1" s="3">
        <v>16</v>
      </c>
      <c r="I1" s="3" t="s">
        <v>6</v>
      </c>
      <c r="J1" s="1"/>
      <c r="K1" s="1"/>
    </row>
    <row r="2" spans="1:11">
      <c r="A2" t="s">
        <v>7</v>
      </c>
      <c r="B2">
        <f>170*2.5*1.09</f>
        <v>463.25000000000006</v>
      </c>
      <c r="C2">
        <f>$H$1*5</f>
        <v>80</v>
      </c>
      <c r="D2">
        <f t="shared" ref="D2:D11" si="0">B2/C2</f>
        <v>5.7906250000000004</v>
      </c>
      <c r="G2" s="1" t="s">
        <v>8</v>
      </c>
      <c r="H2" s="2">
        <f>SUM(D:D)-$D$10</f>
        <v>158.280745</v>
      </c>
      <c r="I2" s="1" t="s">
        <v>9</v>
      </c>
      <c r="J2" s="2">
        <f>H2/$H$7</f>
        <v>121.75441923076923</v>
      </c>
      <c r="K2" s="1" t="s">
        <v>10</v>
      </c>
    </row>
    <row r="3" spans="1:11">
      <c r="A3" t="s">
        <v>11</v>
      </c>
      <c r="B3">
        <f>4*57.2*1.3*1.09</f>
        <v>324.20960000000002</v>
      </c>
      <c r="C3">
        <f>$C$2</f>
        <v>80</v>
      </c>
      <c r="D3">
        <f t="shared" si="0"/>
        <v>4.0526200000000001</v>
      </c>
      <c r="G3" s="1" t="s">
        <v>12</v>
      </c>
      <c r="H3" s="2">
        <f>$D$10</f>
        <v>39.642857142857146</v>
      </c>
      <c r="I3" s="1" t="s">
        <v>9</v>
      </c>
      <c r="J3" s="2">
        <f t="shared" ref="J3:J5" si="1">H3/$H$7</f>
        <v>30.494505494505496</v>
      </c>
      <c r="K3" s="1" t="s">
        <v>10</v>
      </c>
    </row>
    <row r="4" spans="1:11">
      <c r="A4" t="s">
        <v>13</v>
      </c>
      <c r="B4">
        <v>240</v>
      </c>
      <c r="C4">
        <f>$H$1</f>
        <v>16</v>
      </c>
      <c r="D4">
        <f t="shared" si="0"/>
        <v>15</v>
      </c>
      <c r="G4" s="1"/>
      <c r="H4" s="1"/>
      <c r="I4" s="1"/>
      <c r="J4" s="2"/>
      <c r="K4" s="1"/>
    </row>
    <row r="5" spans="1:11">
      <c r="A5" t="s">
        <v>14</v>
      </c>
      <c r="B5">
        <v>8000</v>
      </c>
      <c r="C5">
        <v>80</v>
      </c>
      <c r="D5">
        <f t="shared" si="0"/>
        <v>100</v>
      </c>
      <c r="G5" s="1" t="s">
        <v>15</v>
      </c>
      <c r="H5" s="2">
        <f>$H$2+$H$3</f>
        <v>197.92360214285713</v>
      </c>
      <c r="I5" s="1" t="s">
        <v>9</v>
      </c>
      <c r="J5" s="2">
        <f t="shared" si="1"/>
        <v>152.24892472527472</v>
      </c>
      <c r="K5" s="1" t="s">
        <v>10</v>
      </c>
    </row>
    <row r="6" spans="1:11">
      <c r="A6" t="s">
        <v>16</v>
      </c>
      <c r="B6">
        <v>500</v>
      </c>
      <c r="C6">
        <f>$H$1*100</f>
        <v>1600</v>
      </c>
      <c r="D6">
        <f t="shared" si="0"/>
        <v>0.3125</v>
      </c>
      <c r="E6" t="s">
        <v>17</v>
      </c>
      <c r="G6" s="1"/>
      <c r="H6" s="1"/>
      <c r="I6" s="1"/>
      <c r="J6" s="1"/>
      <c r="K6" s="1"/>
    </row>
    <row r="7" spans="1:11">
      <c r="A7" t="s">
        <v>18</v>
      </c>
      <c r="B7">
        <v>1500</v>
      </c>
      <c r="C7">
        <v>80</v>
      </c>
      <c r="D7">
        <f t="shared" si="0"/>
        <v>18.75</v>
      </c>
      <c r="G7" s="3" t="s">
        <v>19</v>
      </c>
      <c r="H7" s="3">
        <v>1.3</v>
      </c>
      <c r="I7" s="1"/>
      <c r="J7" s="1"/>
      <c r="K7" s="1"/>
    </row>
    <row r="8" spans="1:11">
      <c r="A8" t="s">
        <v>20</v>
      </c>
      <c r="B8">
        <v>200</v>
      </c>
      <c r="C8">
        <f>$H$1*10</f>
        <v>160</v>
      </c>
      <c r="D8">
        <f t="shared" si="0"/>
        <v>1.25</v>
      </c>
    </row>
    <row r="9" spans="1:11">
      <c r="A9" t="s">
        <v>21</v>
      </c>
      <c r="B9">
        <v>10</v>
      </c>
      <c r="C9">
        <v>1</v>
      </c>
      <c r="D9">
        <f t="shared" si="0"/>
        <v>10</v>
      </c>
    </row>
    <row r="10" spans="1:11">
      <c r="A10" t="s">
        <v>22</v>
      </c>
      <c r="B10">
        <f>185*1.5</f>
        <v>277.5</v>
      </c>
      <c r="C10">
        <v>7</v>
      </c>
      <c r="D10">
        <f t="shared" si="0"/>
        <v>39.642857142857146</v>
      </c>
      <c r="E10" t="s">
        <v>23</v>
      </c>
    </row>
    <row r="11" spans="1:11">
      <c r="A11" t="s">
        <v>24</v>
      </c>
      <c r="B11">
        <v>50</v>
      </c>
      <c r="C11">
        <f>$H$1</f>
        <v>16</v>
      </c>
      <c r="D11">
        <f t="shared" si="0"/>
        <v>3.125</v>
      </c>
      <c r="E11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0CB9A70ABD934AB75DB6E64DCC563E" ma:contentTypeVersion="18" ma:contentTypeDescription="Create a new document." ma:contentTypeScope="" ma:versionID="d1d91ea53b9b7bf9fd6a6b6ea9594d35">
  <xsd:schema xmlns:xsd="http://www.w3.org/2001/XMLSchema" xmlns:xs="http://www.w3.org/2001/XMLSchema" xmlns:p="http://schemas.microsoft.com/office/2006/metadata/properties" xmlns:ns2="d57804ca-f4b6-4d1a-bc7b-09e1480f5f77" xmlns:ns3="a67a9ec7-d99c-4343-a116-3e51ba2009d6" targetNamespace="http://schemas.microsoft.com/office/2006/metadata/properties" ma:root="true" ma:fieldsID="f5627cd3b8217e15a0749f2218d22b14" ns2:_="" ns3:_="">
    <xsd:import namespace="d57804ca-f4b6-4d1a-bc7b-09e1480f5f77"/>
    <xsd:import namespace="a67a9ec7-d99c-4343-a116-3e51ba200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804ca-f4b6-4d1a-bc7b-09e1480f5f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a9ec7-d99c-4343-a116-3e51ba200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6d9742c-e832-40f1-814f-5ece4a5cce65}" ma:internalName="TaxCatchAll" ma:showField="CatchAllData" ma:web="a67a9ec7-d99c-4343-a116-3e51ba200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7a9ec7-d99c-4343-a116-3e51ba2009d6" xsi:nil="true"/>
    <lcf76f155ced4ddcb4097134ff3c332f xmlns="d57804ca-f4b6-4d1a-bc7b-09e1480f5f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02077E-A320-4CE7-95B9-76D8CF635DCD}"/>
</file>

<file path=customXml/itemProps2.xml><?xml version="1.0" encoding="utf-8"?>
<ds:datastoreItem xmlns:ds="http://schemas.openxmlformats.org/officeDocument/2006/customXml" ds:itemID="{55A09202-C643-4128-808A-839B1564097B}"/>
</file>

<file path=customXml/itemProps3.xml><?xml version="1.0" encoding="utf-8"?>
<ds:datastoreItem xmlns:ds="http://schemas.openxmlformats.org/officeDocument/2006/customXml" ds:itemID="{E88DFA0B-EF41-4BD7-9215-2871F57D72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 Chuan Jie</dc:creator>
  <cp:keywords/>
  <dc:description/>
  <cp:lastModifiedBy>Zheng Minrui</cp:lastModifiedBy>
  <cp:revision/>
  <dcterms:created xsi:type="dcterms:W3CDTF">2026-03-05T01:58:20Z</dcterms:created>
  <dcterms:modified xsi:type="dcterms:W3CDTF">2026-03-06T03:56:07Z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0x010100CE0CB9A70ABD934AB75DB6E64DCC563E</vt:lpwstr>
  </property>
  <property fmtid="{D5CDD505-2E9C-101B-9397-08002B2CF9AE}" pid="3" name="MediaServiceImageTags">
    <vt:lpwstr/>
  </property>
</Properties>
</file>